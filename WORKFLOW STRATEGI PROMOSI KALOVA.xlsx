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" sheetId="1" r:id="rId5"/>
    <sheet state="visible" name="WORKFLOW" sheetId="2" r:id="rId6"/>
    <sheet state="visible" name="TIMELINE PROMOSI" sheetId="3" r:id="rId7"/>
    <sheet state="visible" name="Sheet6" sheetId="4" r:id="rId8"/>
    <sheet state="visible" name="TWINDATE" sheetId="5" r:id="rId9"/>
    <sheet state="visible" name="RABU XTRA" sheetId="6" r:id="rId10"/>
    <sheet state="visible" name="PAY DAY" sheetId="7" r:id="rId11"/>
    <sheet state="visible" name="SFD" sheetId="8" r:id="rId12"/>
  </sheets>
  <definedNames>
    <definedName hidden="1" localSheetId="4" name="_xlnm._FilterDatabase">TWINDATE!$B$3:$H$25</definedName>
    <definedName hidden="1" localSheetId="5" name="_xlnm._FilterDatabase">'RABU XTRA'!$B$3:$H$25</definedName>
    <definedName hidden="1" localSheetId="6" name="_xlnm._FilterDatabase">'PAY DAY'!$B$3:$H$25</definedName>
    <definedName hidden="1" localSheetId="7" name="_xlnm._FilterDatabase">SFD!$B$3:$H$25</definedName>
  </definedNames>
  <calcPr/>
</workbook>
</file>

<file path=xl/sharedStrings.xml><?xml version="1.0" encoding="utf-8"?>
<sst xmlns="http://schemas.openxmlformats.org/spreadsheetml/2006/main" count="870" uniqueCount="204">
  <si>
    <t>Nama Produk</t>
  </si>
  <si>
    <t>Kategori</t>
  </si>
  <si>
    <t>HPP</t>
  </si>
  <si>
    <t>Harga Jual</t>
  </si>
  <si>
    <t>Admin Fee</t>
  </si>
  <si>
    <t>Shipping Fee</t>
  </si>
  <si>
    <t>Promo Xtra</t>
  </si>
  <si>
    <t>Fee / pesanan</t>
  </si>
  <si>
    <t>Campaign Fee</t>
  </si>
  <si>
    <t>Promosi Fee</t>
  </si>
  <si>
    <t>Marketing Fee</t>
  </si>
  <si>
    <t>Ads Spending</t>
  </si>
  <si>
    <t>Affiliate commis</t>
  </si>
  <si>
    <t>Operating Cost</t>
  </si>
  <si>
    <t>Margin</t>
  </si>
  <si>
    <t>NPM</t>
  </si>
  <si>
    <t>APPROVE</t>
  </si>
  <si>
    <t>Nilai</t>
  </si>
  <si>
    <t>(%) Margin</t>
  </si>
  <si>
    <t>(%) NPM</t>
  </si>
  <si>
    <t>Alea Hijab</t>
  </si>
  <si>
    <t>hjb</t>
  </si>
  <si>
    <t>Alifa</t>
  </si>
  <si>
    <t>Alika</t>
  </si>
  <si>
    <t>Alina Hijab</t>
  </si>
  <si>
    <t>Alina Rayon</t>
  </si>
  <si>
    <t>Alisha Anak</t>
  </si>
  <si>
    <t>Alnaira</t>
  </si>
  <si>
    <t>Amara</t>
  </si>
  <si>
    <t>Ameira</t>
  </si>
  <si>
    <t>Ameira Labubu</t>
  </si>
  <si>
    <t>Aminah</t>
  </si>
  <si>
    <t>Amira L</t>
  </si>
  <si>
    <t>Amira M</t>
  </si>
  <si>
    <t>Amira S</t>
  </si>
  <si>
    <t>Amira Xl</t>
  </si>
  <si>
    <t>Amora</t>
  </si>
  <si>
    <t>Aqila Ank</t>
  </si>
  <si>
    <t>Arab Anak</t>
  </si>
  <si>
    <t>inner</t>
  </si>
  <si>
    <t>Ayra</t>
  </si>
  <si>
    <t>Azizah Dress L</t>
  </si>
  <si>
    <t>dress/bls</t>
  </si>
  <si>
    <t>Azizah Dress M</t>
  </si>
  <si>
    <t>Azizah Dress S</t>
  </si>
  <si>
    <t>Azura Dress</t>
  </si>
  <si>
    <t>Box Besar Baru</t>
  </si>
  <si>
    <t>Daniza Labubu</t>
  </si>
  <si>
    <t>Erina Ank M</t>
  </si>
  <si>
    <t>Erina Hijab</t>
  </si>
  <si>
    <t>Erina Rayon</t>
  </si>
  <si>
    <t>Fatima Hijab</t>
  </si>
  <si>
    <t>Gaitha</t>
  </si>
  <si>
    <t>Hilya</t>
  </si>
  <si>
    <t>Hilya S</t>
  </si>
  <si>
    <t>Inara</t>
  </si>
  <si>
    <t>Inaya</t>
  </si>
  <si>
    <t>Irsa Hijab</t>
  </si>
  <si>
    <t>Jarum Pentul</t>
  </si>
  <si>
    <t>Acs</t>
  </si>
  <si>
    <t>Jepitan Bintang</t>
  </si>
  <si>
    <t>Jepitan Kupukupu</t>
  </si>
  <si>
    <t>Kalisha L</t>
  </si>
  <si>
    <t>Kalisha M</t>
  </si>
  <si>
    <t>Kalisha S</t>
  </si>
  <si>
    <t>Kalisha Xl</t>
  </si>
  <si>
    <t>Kaluna</t>
  </si>
  <si>
    <t>Kaluna S</t>
  </si>
  <si>
    <t>Kaluna XS</t>
  </si>
  <si>
    <t>Kanaya</t>
  </si>
  <si>
    <t>Kartu Ucapan</t>
  </si>
  <si>
    <t>Keisa Dres</t>
  </si>
  <si>
    <t>Khalila</t>
  </si>
  <si>
    <t>Kk Ank Balita</t>
  </si>
  <si>
    <t>Kk Ank SD</t>
  </si>
  <si>
    <t>Krd Ank Qinara</t>
  </si>
  <si>
    <t>Legging Anak XL - Gempi</t>
  </si>
  <si>
    <t>Leoni S</t>
  </si>
  <si>
    <t>Leoni XS</t>
  </si>
  <si>
    <t>Manset Anak L</t>
  </si>
  <si>
    <t>Manset Anak M</t>
  </si>
  <si>
    <t>Manset anak viscose S</t>
  </si>
  <si>
    <t>Manset anak viscose XL</t>
  </si>
  <si>
    <t>Manset anak viscose XXL</t>
  </si>
  <si>
    <t>Marsya</t>
  </si>
  <si>
    <t>Meisya</t>
  </si>
  <si>
    <t>Mkn Adara</t>
  </si>
  <si>
    <t>mkn</t>
  </si>
  <si>
    <t>Mkn Aira Kids</t>
  </si>
  <si>
    <t>Mkn Arsy Kids</t>
  </si>
  <si>
    <t>Mkn Lavela Kids</t>
  </si>
  <si>
    <t>Nafeesa</t>
  </si>
  <si>
    <t>Pshm Anak Rayon</t>
  </si>
  <si>
    <t>Pshm Ank jersey</t>
  </si>
  <si>
    <t>Qalesya</t>
  </si>
  <si>
    <t>Qinan</t>
  </si>
  <si>
    <t>Rania</t>
  </si>
  <si>
    <t>Rasya Anak</t>
  </si>
  <si>
    <t>Safina</t>
  </si>
  <si>
    <t>Saila</t>
  </si>
  <si>
    <t>Scrunchie Mini</t>
  </si>
  <si>
    <t>Sejadah Traveling</t>
  </si>
  <si>
    <t>Sporty</t>
  </si>
  <si>
    <t>Talita</t>
  </si>
  <si>
    <t>Talita M</t>
  </si>
  <si>
    <t>Tanisha</t>
  </si>
  <si>
    <t>Tasya</t>
  </si>
  <si>
    <t>Zea</t>
  </si>
  <si>
    <t>Zeeva</t>
  </si>
  <si>
    <t>Zeeva S</t>
  </si>
  <si>
    <t>Zia</t>
  </si>
  <si>
    <t>Zirra</t>
  </si>
  <si>
    <t>Zizah Hijab</t>
  </si>
  <si>
    <t>Pin Circle</t>
  </si>
  <si>
    <t>Pin Square</t>
  </si>
  <si>
    <t>Alika Bundling 2pcs</t>
  </si>
  <si>
    <t>CAMPAIGN</t>
  </si>
  <si>
    <t>BANNER</t>
  </si>
  <si>
    <t>PREPARE</t>
  </si>
  <si>
    <t>KETERANGAN</t>
  </si>
  <si>
    <t>TIMELINE PUSH</t>
  </si>
  <si>
    <t>TWINDATE</t>
  </si>
  <si>
    <t>TOKO</t>
  </si>
  <si>
    <t>KATEGORI TOKO</t>
  </si>
  <si>
    <t>KATEGORI UNTUK PRODUK YANG MASUK PROMOSI</t>
  </si>
  <si>
    <t>H-1</t>
  </si>
  <si>
    <t>CHAT BROADCAST</t>
  </si>
  <si>
    <t>JAM 9 MALAM</t>
  </si>
  <si>
    <t>IG STORY</t>
  </si>
  <si>
    <t>JADWAL POSTING</t>
  </si>
  <si>
    <t>PRIME TIME ORANG LIHAT STORY</t>
  </si>
  <si>
    <t>H-2, H-1, H</t>
  </si>
  <si>
    <t>ADS META</t>
  </si>
  <si>
    <t>IMG / VIDEO HARD SELLING</t>
  </si>
  <si>
    <t>CPAS</t>
  </si>
  <si>
    <t>H-3</t>
  </si>
  <si>
    <t>LIVE</t>
  </si>
  <si>
    <t>INFO PROMO &amp; ETALASE PRODUK</t>
  </si>
  <si>
    <t>SHARE INFO KE HOST LIVE: ATUR LIST PRODUK, BANNER &amp; PROMO</t>
  </si>
  <si>
    <t>PAYDAY</t>
  </si>
  <si>
    <t>RABU XTRA</t>
  </si>
  <si>
    <t>SHOPEE FASHION DAY</t>
  </si>
  <si>
    <t>PERIODE</t>
  </si>
  <si>
    <t>CAMPAIGN / PROMOSI</t>
  </si>
  <si>
    <t>1-5 JUNI 2026</t>
  </si>
  <si>
    <t>PROMO DAILY / CAMPAIGN LAIN</t>
  </si>
  <si>
    <t>6 JUNI 2026</t>
  </si>
  <si>
    <t>7-9 JUNI 2026</t>
  </si>
  <si>
    <t>10 JUNI 2026</t>
  </si>
  <si>
    <t>11-16 JUNI 2026</t>
  </si>
  <si>
    <t>17 JUNI 2026</t>
  </si>
  <si>
    <t>18-23 JUNI 2026</t>
  </si>
  <si>
    <t>24 JUNI 2026</t>
  </si>
  <si>
    <t>25 JUNI 2026</t>
  </si>
  <si>
    <t>26-29 JUNI 2026</t>
  </si>
  <si>
    <t>30 JUNI 2026</t>
  </si>
  <si>
    <t>workflow dashboard otomatis</t>
  </si>
  <si>
    <t>0. role spv share timeline promosi di bulan terkait ke role marketing</t>
  </si>
  <si>
    <t>1. role spv pilih campaign (slider tapi ada opsi menambahkan opsi slider baru)</t>
  </si>
  <si>
    <t>2. role spv mengisi id produk (teks)</t>
  </si>
  <si>
    <t>3. role spv mengisi nama produk (teks)</t>
  </si>
  <si>
    <t>4. role spv mengisi skema promo: contoh buy 2 get free hijab (slider tapi ada opsi menambahkan opsi slider baru)</t>
  </si>
  <si>
    <t>5. role spv menandai jenis promo tersebut. contoh free gift (slider tapi ada opsi menambahkan opsi slider baru)</t>
  </si>
  <si>
    <t>6. ketika mengisi atau memilih id produk, langsung otomatis terklasifikasi produk itu fast moving, moderate atau slow moving (slider tapi ada opsi menambahkan opsi slider baru)</t>
  </si>
  <si>
    <t>7. role admin calculate skema promo dengan biaya/potongan setelahnya meminta approve ke role spv (di spreadsheet)</t>
  </si>
  <si>
    <t>8. role admin setting promo di marketplace setelah di-approve role spv (check list box)</t>
  </si>
  <si>
    <t>8. role admin request banner toko, ig story, ads cpas, dan banner live streaming ke role desainer (check list box)</t>
  </si>
  <si>
    <t>9. role admin prepare toko: membuat kategori promosi yang sudah disetting &amp; chat broadcast (check list box)</t>
  </si>
  <si>
    <t>10. role desainer mengirimkan desain yang sudah di-request role admin</t>
  </si>
  <si>
    <t>11. role admin reminder role marketing: share kebutuhan jadwal posting, desain atau timeline kreatif naik di sosmed (check list box)</t>
  </si>
  <si>
    <t>12. role admin share info promo, produk dan banner kreatif ke host live streaming (check list box)</t>
  </si>
  <si>
    <t>13. role spv setting kreatif di cpas meta (check list box)</t>
  </si>
  <si>
    <t>FAST MOVING &amp; MODERATE WAJIB, SISANYA SLOW MOVING</t>
  </si>
  <si>
    <t>BULAN</t>
  </si>
  <si>
    <t>ID PRODUK</t>
  </si>
  <si>
    <t>NAMA PRODUK</t>
  </si>
  <si>
    <t>SKEMA PROMO</t>
  </si>
  <si>
    <t>PROMO</t>
  </si>
  <si>
    <t>KLASIFIKASI PRODUK</t>
  </si>
  <si>
    <t>JUNI</t>
  </si>
  <si>
    <t>KALUNA</t>
  </si>
  <si>
    <t>BUY 2 GET MOBIL</t>
  </si>
  <si>
    <t>FREE GIFT</t>
  </si>
  <si>
    <t>FAST MOVING</t>
  </si>
  <si>
    <t>ZEEVA</t>
  </si>
  <si>
    <t>ALINA</t>
  </si>
  <si>
    <t>ALIKA</t>
  </si>
  <si>
    <t>AMORA</t>
  </si>
  <si>
    <t>TALITA</t>
  </si>
  <si>
    <t>BUY 2 DISC 100%
BUY 3 DISC 200%
BUY 4 DISC 300%</t>
  </si>
  <si>
    <t>BBLH</t>
  </si>
  <si>
    <t>MODERATE</t>
  </si>
  <si>
    <t>ERINA</t>
  </si>
  <si>
    <t>PASHMINA ANAK</t>
  </si>
  <si>
    <t>QALESYA</t>
  </si>
  <si>
    <t>HILYA</t>
  </si>
  <si>
    <t>ZIZAH</t>
  </si>
  <si>
    <t>KHALILA</t>
  </si>
  <si>
    <t>MARSYA</t>
  </si>
  <si>
    <t>RABU XTRA W1</t>
  </si>
  <si>
    <t>PAY DAY</t>
  </si>
  <si>
    <t>S FASHION DAY</t>
  </si>
  <si>
    <t>SLOW MOVING &amp; DEADSTOK DOMINAN, SISANYA FAST MOV / MODERATE</t>
  </si>
  <si>
    <t>SFD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</si>
</sst>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[$Rp-421]* #,##0_-;_-[$Rp-421]* \-#,##0_-;_-[$Rp-421]* &quot;-&quot;??_-;_-@"/>
    <numFmt numFmtId="165" formatCode="[$Rp-421]#,##0"/>
    <numFmt numFmtId="166" formatCode="0.0%"/>
    <numFmt numFmtId="167" formatCode="_-[$Rp-421]* #,##0.000_-;\-[$Rp-421]* #,##0.000_-;_-[$Rp-421]* &quot;-&quot;??.000_-;_-@"/>
    <numFmt numFmtId="168" formatCode="_-[$Rp-421]* #,##0_-;\-[$Rp-421]* #,##0_-;_-[$Rp-421]* &quot;-&quot;??_-;_-@"/>
    <numFmt numFmtId="169" formatCode="&quot;Rp&quot;#,##0"/>
  </numFmts>
  <fonts count="10">
    <font>
      <sz val="11.0"/>
      <color theme="1"/>
      <name val="Calibri"/>
      <scheme val="minor"/>
    </font>
    <font>
      <color theme="1"/>
      <name val="Arial"/>
    </font>
    <font>
      <sz val="12.0"/>
      <color rgb="FFFFFFFF"/>
      <name val="Roboto Mono"/>
    </font>
    <font>
      <sz val="12.0"/>
      <color theme="1"/>
      <name val="Roboto Mono"/>
    </font>
    <font>
      <sz val="9.0"/>
      <color theme="1"/>
      <name val="Poppins"/>
    </font>
    <font>
      <b/>
      <sz val="10.0"/>
      <color theme="1"/>
      <name val="Poppins"/>
    </font>
    <font>
      <color theme="1"/>
      <name val="Poppins"/>
    </font>
    <font>
      <color theme="1"/>
      <name val="Calibri"/>
      <scheme val="minor"/>
    </font>
    <font>
      <b/>
      <i/>
      <color theme="1"/>
      <name val="Poppins"/>
    </font>
    <font>
      <b/>
      <sz val="10.0"/>
      <color rgb="FF434343"/>
      <name val="Poppins"/>
    </font>
  </fonts>
  <fills count="9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FEF8E3"/>
        <bgColor rgb="FFFEF8E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shrinkToFit="0" wrapText="1"/>
    </xf>
    <xf borderId="0" fillId="2" fontId="2" numFmtId="3" xfId="0" applyAlignment="1" applyFont="1" applyNumberFormat="1">
      <alignment horizontal="center" shrinkToFit="0" wrapText="1"/>
    </xf>
    <xf borderId="0" fillId="3" fontId="2" numFmtId="164" xfId="0" applyAlignment="1" applyFill="1" applyFont="1" applyNumberFormat="1">
      <alignment horizontal="center" shrinkToFit="0" wrapText="1"/>
    </xf>
    <xf borderId="0" fillId="3" fontId="2" numFmtId="165" xfId="0" applyAlignment="1" applyFont="1" applyNumberFormat="1">
      <alignment horizontal="center" shrinkToFit="0" wrapText="1"/>
    </xf>
    <xf borderId="0" fillId="3" fontId="2" numFmtId="0" xfId="0" applyAlignment="1" applyFont="1">
      <alignment horizontal="center" shrinkToFit="0" wrapText="1"/>
    </xf>
    <xf borderId="0" fillId="0" fontId="1" numFmtId="0" xfId="0" applyFont="1"/>
    <xf borderId="0" fillId="4" fontId="3" numFmtId="166" xfId="0" applyAlignment="1" applyFill="1" applyFont="1" applyNumberFormat="1">
      <alignment horizontal="center" vertical="bottom"/>
    </xf>
    <xf borderId="0" fillId="4" fontId="1" numFmtId="166" xfId="0" applyAlignment="1" applyFont="1" applyNumberFormat="1">
      <alignment vertical="bottom"/>
    </xf>
    <xf borderId="0" fillId="4" fontId="3" numFmtId="10" xfId="0" applyAlignment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5" fontId="3" numFmtId="167" xfId="0" applyAlignment="1" applyFill="1" applyFont="1" applyNumberFormat="1">
      <alignment vertical="top"/>
    </xf>
    <xf borderId="0" fillId="0" fontId="3" numFmtId="168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69" xfId="0" applyAlignment="1" applyFont="1" applyNumberFormat="1">
      <alignment vertical="bottom"/>
    </xf>
    <xf borderId="0" fillId="5" fontId="3" numFmtId="167" xfId="0" applyAlignment="1" applyFont="1" applyNumberFormat="1">
      <alignment textRotation="0" vertical="top"/>
    </xf>
    <xf borderId="0" fillId="6" fontId="3" numFmtId="0" xfId="0" applyAlignment="1" applyFill="1" applyFont="1">
      <alignment horizontal="center" vertical="bottom"/>
    </xf>
    <xf borderId="0" fillId="6" fontId="3" numFmtId="167" xfId="0" applyAlignment="1" applyFont="1" applyNumberFormat="1">
      <alignment vertical="top"/>
    </xf>
    <xf borderId="0" fillId="6" fontId="3" numFmtId="3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Font="1"/>
    <xf borderId="1" fillId="7" fontId="5" numFmtId="0" xfId="0" applyAlignment="1" applyBorder="1" applyFill="1" applyFont="1">
      <alignment horizontal="center"/>
    </xf>
    <xf borderId="0" fillId="0" fontId="4" numFmtId="0" xfId="0" applyAlignment="1" applyFont="1">
      <alignment horizontal="left" vertical="center"/>
    </xf>
    <xf borderId="0" fillId="0" fontId="6" numFmtId="0" xfId="0" applyFont="1"/>
    <xf borderId="0" fillId="7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7" fontId="9" numFmtId="0" xfId="0" applyAlignment="1" applyBorder="1" applyFont="1">
      <alignment horizontal="center" readingOrder="0" vertical="center"/>
    </xf>
    <xf borderId="1" fillId="7" fontId="9" numFmtId="0" xfId="0" applyAlignment="1" applyBorder="1" applyFont="1">
      <alignment horizontal="center" vertical="center"/>
    </xf>
    <xf borderId="0" fillId="7" fontId="9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8" fontId="4" numFmtId="0" xfId="0" applyAlignment="1" applyFill="1" applyFont="1">
      <alignment horizontal="right" vertical="center"/>
    </xf>
    <xf borderId="0" fillId="8" fontId="4" numFmtId="0" xfId="0" applyAlignment="1" applyFont="1">
      <alignment readingOrder="0" vertical="center"/>
    </xf>
    <xf borderId="0" fillId="8" fontId="4" numFmtId="0" xfId="0" applyAlignment="1" applyFont="1">
      <alignment vertical="center"/>
    </xf>
    <xf borderId="0" fillId="5" fontId="4" numFmtId="0" xfId="0" applyAlignment="1" applyFont="1">
      <alignment horizontal="right" vertical="center"/>
    </xf>
    <xf borderId="0" fillId="0" fontId="4" numFmtId="0" xfId="0" applyAlignment="1" applyFont="1">
      <alignment vertical="center"/>
    </xf>
    <xf borderId="0" fillId="8" fontId="4" numFmtId="0" xfId="0" applyAlignment="1" applyFont="1">
      <alignment horizontal="right" vertical="center"/>
    </xf>
    <xf borderId="0" fillId="5" fontId="4" numFmtId="0" xfId="0" applyAlignment="1" applyFont="1">
      <alignment horizontal="right" vertical="center"/>
    </xf>
    <xf borderId="0" fillId="5" fontId="4" numFmtId="0" xfId="0" applyAlignment="1" applyFont="1">
      <alignment horizontal="left" readingOrder="0" vertical="center"/>
    </xf>
    <xf borderId="0" fillId="8" fontId="4" numFmtId="0" xfId="0" applyAlignment="1" applyFont="1">
      <alignment horizontal="left" readingOrder="0" vertical="center"/>
    </xf>
    <xf borderId="0" fillId="5" fontId="4" numFmtId="0" xfId="0" applyAlignment="1" applyFont="1">
      <alignment horizontal="left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6" t="s">
        <v>12</v>
      </c>
      <c r="O1" s="6" t="s">
        <v>13</v>
      </c>
      <c r="P1" s="2" t="s">
        <v>14</v>
      </c>
      <c r="R1" s="2" t="s">
        <v>15</v>
      </c>
      <c r="T1" s="6" t="s">
        <v>16</v>
      </c>
      <c r="U1" s="7"/>
      <c r="V1" s="7"/>
    </row>
    <row r="2">
      <c r="F2" s="8">
        <v>0.0825</v>
      </c>
      <c r="G2" s="8">
        <v>0.055</v>
      </c>
      <c r="H2" s="8">
        <v>0.045</v>
      </c>
      <c r="I2" s="8">
        <v>0.03</v>
      </c>
      <c r="J2" s="9"/>
      <c r="K2" s="8">
        <v>0.02</v>
      </c>
      <c r="L2" s="8">
        <v>0.02</v>
      </c>
      <c r="M2" s="8">
        <v>0.08</v>
      </c>
      <c r="N2" s="10">
        <v>0.01960381137502655</v>
      </c>
      <c r="O2" s="8">
        <v>0.05</v>
      </c>
      <c r="P2" s="11" t="s">
        <v>17</v>
      </c>
      <c r="Q2" s="8" t="s">
        <v>18</v>
      </c>
      <c r="R2" s="11" t="s">
        <v>17</v>
      </c>
      <c r="S2" s="8" t="s">
        <v>19</v>
      </c>
      <c r="U2" s="12">
        <f>SUM(F2:O2)</f>
        <v>0.4021038114</v>
      </c>
      <c r="V2" s="12">
        <f>O2+N2+M2+L2+K2+I2+H2+G2+F2</f>
        <v>0.4021038114</v>
      </c>
    </row>
    <row r="3">
      <c r="A3" s="13">
        <v>1.0</v>
      </c>
      <c r="B3" s="14" t="s">
        <v>20</v>
      </c>
      <c r="C3" s="15" t="s">
        <v>21</v>
      </c>
      <c r="D3" s="16">
        <v>7000.0</v>
      </c>
      <c r="E3" s="16">
        <v>19800.0</v>
      </c>
      <c r="F3" s="17">
        <f t="shared" ref="F3:F93" si="1">E3*$F$2</f>
        <v>1633.5</v>
      </c>
      <c r="G3" s="17">
        <f t="shared" ref="G3:G93" si="2">E3*$G$2</f>
        <v>1089</v>
      </c>
      <c r="H3" s="17">
        <f t="shared" ref="H3:H93" si="3">E3*$H$2</f>
        <v>891</v>
      </c>
      <c r="I3" s="17">
        <f t="shared" ref="I3:I93" si="4">E3*$I$2</f>
        <v>594</v>
      </c>
      <c r="J3" s="17">
        <f t="shared" ref="J3:J93" si="5">E3*$J$2</f>
        <v>0</v>
      </c>
      <c r="K3" s="17">
        <f t="shared" ref="K3:K93" si="6">E3*$K$2</f>
        <v>396</v>
      </c>
      <c r="L3" s="17">
        <f t="shared" ref="L3:L93" si="7">E3*$L$2</f>
        <v>396</v>
      </c>
      <c r="M3" s="17">
        <f t="shared" ref="M3:M93" si="8">E3*$M$2</f>
        <v>1584</v>
      </c>
      <c r="N3" s="17">
        <f t="shared" ref="N3:N93" si="9">E3*$N$2</f>
        <v>388.1554652</v>
      </c>
      <c r="O3" s="17">
        <f t="shared" ref="O3:O93" si="10">E3*$O$2</f>
        <v>990</v>
      </c>
      <c r="P3" s="16">
        <f t="shared" ref="P3:P93" si="11">E3-D3</f>
        <v>12800</v>
      </c>
      <c r="Q3" s="18">
        <f t="shared" ref="Q3:Q93" si="12">P3/E3</f>
        <v>0.6464646465</v>
      </c>
      <c r="R3" s="16">
        <f t="shared" ref="R3:R93" si="13">E3-D3-F3-G3-H3-I3-J3-K3-L3-M3-N3-O3</f>
        <v>4838.344535</v>
      </c>
      <c r="S3" s="18">
        <f t="shared" ref="S3:S93" si="14">R3/E3</f>
        <v>0.2443608351</v>
      </c>
      <c r="T3" s="19"/>
      <c r="U3" s="19"/>
      <c r="V3" s="20"/>
    </row>
    <row r="4">
      <c r="A4" s="13">
        <v>2.0</v>
      </c>
      <c r="B4" s="14" t="s">
        <v>22</v>
      </c>
      <c r="C4" s="15" t="s">
        <v>21</v>
      </c>
      <c r="D4" s="16">
        <v>11000.0</v>
      </c>
      <c r="E4" s="16">
        <v>32700.0</v>
      </c>
      <c r="F4" s="17">
        <f t="shared" si="1"/>
        <v>2697.75</v>
      </c>
      <c r="G4" s="17">
        <f t="shared" si="2"/>
        <v>1798.5</v>
      </c>
      <c r="H4" s="17">
        <f t="shared" si="3"/>
        <v>1471.5</v>
      </c>
      <c r="I4" s="17">
        <f t="shared" si="4"/>
        <v>981</v>
      </c>
      <c r="J4" s="17">
        <f t="shared" si="5"/>
        <v>0</v>
      </c>
      <c r="K4" s="17">
        <f t="shared" si="6"/>
        <v>654</v>
      </c>
      <c r="L4" s="17">
        <f t="shared" si="7"/>
        <v>654</v>
      </c>
      <c r="M4" s="17">
        <f t="shared" si="8"/>
        <v>2616</v>
      </c>
      <c r="N4" s="17">
        <f t="shared" si="9"/>
        <v>641.044632</v>
      </c>
      <c r="O4" s="17">
        <f t="shared" si="10"/>
        <v>1635</v>
      </c>
      <c r="P4" s="16">
        <f t="shared" si="11"/>
        <v>21700</v>
      </c>
      <c r="Q4" s="18">
        <f t="shared" si="12"/>
        <v>0.6636085627</v>
      </c>
      <c r="R4" s="16">
        <f t="shared" si="13"/>
        <v>8551.205368</v>
      </c>
      <c r="S4" s="18">
        <f t="shared" si="14"/>
        <v>0.2615047513</v>
      </c>
      <c r="T4" s="19"/>
      <c r="U4" s="19"/>
      <c r="V4" s="19"/>
    </row>
    <row r="5">
      <c r="A5" s="13">
        <v>3.0</v>
      </c>
      <c r="B5" s="14" t="s">
        <v>23</v>
      </c>
      <c r="C5" s="15" t="s">
        <v>21</v>
      </c>
      <c r="D5" s="16">
        <v>10100.0</v>
      </c>
      <c r="E5" s="16">
        <v>26300.0</v>
      </c>
      <c r="F5" s="17">
        <f t="shared" si="1"/>
        <v>2169.75</v>
      </c>
      <c r="G5" s="17">
        <f t="shared" si="2"/>
        <v>1446.5</v>
      </c>
      <c r="H5" s="17">
        <f t="shared" si="3"/>
        <v>1183.5</v>
      </c>
      <c r="I5" s="17">
        <f t="shared" si="4"/>
        <v>789</v>
      </c>
      <c r="J5" s="17">
        <f t="shared" si="5"/>
        <v>0</v>
      </c>
      <c r="K5" s="17">
        <f t="shared" si="6"/>
        <v>526</v>
      </c>
      <c r="L5" s="17">
        <f t="shared" si="7"/>
        <v>526</v>
      </c>
      <c r="M5" s="17">
        <f t="shared" si="8"/>
        <v>2104</v>
      </c>
      <c r="N5" s="17">
        <f t="shared" si="9"/>
        <v>515.5802392</v>
      </c>
      <c r="O5" s="17">
        <f t="shared" si="10"/>
        <v>1315</v>
      </c>
      <c r="P5" s="16">
        <f t="shared" si="11"/>
        <v>16200</v>
      </c>
      <c r="Q5" s="18">
        <f t="shared" si="12"/>
        <v>0.6159695817</v>
      </c>
      <c r="R5" s="16">
        <f t="shared" si="13"/>
        <v>5624.669761</v>
      </c>
      <c r="S5" s="18">
        <f t="shared" si="14"/>
        <v>0.2138657704</v>
      </c>
      <c r="T5" s="19"/>
      <c r="U5" s="19"/>
      <c r="V5" s="19"/>
    </row>
    <row r="6">
      <c r="A6" s="13">
        <v>4.0</v>
      </c>
      <c r="B6" s="21" t="s">
        <v>24</v>
      </c>
      <c r="C6" s="15" t="s">
        <v>21</v>
      </c>
      <c r="D6" s="16">
        <v>6700.0</v>
      </c>
      <c r="E6" s="16">
        <v>18900.0</v>
      </c>
      <c r="F6" s="17">
        <f t="shared" si="1"/>
        <v>1559.25</v>
      </c>
      <c r="G6" s="17">
        <f t="shared" si="2"/>
        <v>1039.5</v>
      </c>
      <c r="H6" s="17">
        <f t="shared" si="3"/>
        <v>850.5</v>
      </c>
      <c r="I6" s="17">
        <f t="shared" si="4"/>
        <v>567</v>
      </c>
      <c r="J6" s="17">
        <f t="shared" si="5"/>
        <v>0</v>
      </c>
      <c r="K6" s="17">
        <f t="shared" si="6"/>
        <v>378</v>
      </c>
      <c r="L6" s="17">
        <f t="shared" si="7"/>
        <v>378</v>
      </c>
      <c r="M6" s="17">
        <f t="shared" si="8"/>
        <v>1512</v>
      </c>
      <c r="N6" s="17">
        <f t="shared" si="9"/>
        <v>370.512035</v>
      </c>
      <c r="O6" s="17">
        <f t="shared" si="10"/>
        <v>945</v>
      </c>
      <c r="P6" s="16">
        <f t="shared" si="11"/>
        <v>12200</v>
      </c>
      <c r="Q6" s="18">
        <f t="shared" si="12"/>
        <v>0.6455026455</v>
      </c>
      <c r="R6" s="16">
        <f t="shared" si="13"/>
        <v>4600.237965</v>
      </c>
      <c r="S6" s="18">
        <f t="shared" si="14"/>
        <v>0.2433988341</v>
      </c>
      <c r="T6" s="19"/>
      <c r="U6" s="19"/>
      <c r="V6" s="19"/>
    </row>
    <row r="7">
      <c r="A7" s="13">
        <v>5.0</v>
      </c>
      <c r="B7" s="21" t="s">
        <v>25</v>
      </c>
      <c r="C7" s="15" t="s">
        <v>21</v>
      </c>
      <c r="D7" s="16">
        <v>9800.0</v>
      </c>
      <c r="E7" s="16">
        <v>32900.0</v>
      </c>
      <c r="F7" s="17">
        <f t="shared" si="1"/>
        <v>2714.25</v>
      </c>
      <c r="G7" s="17">
        <f t="shared" si="2"/>
        <v>1809.5</v>
      </c>
      <c r="H7" s="17">
        <f t="shared" si="3"/>
        <v>1480.5</v>
      </c>
      <c r="I7" s="17">
        <f t="shared" si="4"/>
        <v>987</v>
      </c>
      <c r="J7" s="17">
        <f t="shared" si="5"/>
        <v>0</v>
      </c>
      <c r="K7" s="17">
        <f t="shared" si="6"/>
        <v>658</v>
      </c>
      <c r="L7" s="17">
        <f t="shared" si="7"/>
        <v>658</v>
      </c>
      <c r="M7" s="17">
        <f t="shared" si="8"/>
        <v>2632</v>
      </c>
      <c r="N7" s="17">
        <f t="shared" si="9"/>
        <v>644.9653942</v>
      </c>
      <c r="O7" s="17">
        <f t="shared" si="10"/>
        <v>1645</v>
      </c>
      <c r="P7" s="16">
        <f t="shared" si="11"/>
        <v>23100</v>
      </c>
      <c r="Q7" s="18">
        <f t="shared" si="12"/>
        <v>0.7021276596</v>
      </c>
      <c r="R7" s="16">
        <f t="shared" si="13"/>
        <v>9870.784606</v>
      </c>
      <c r="S7" s="18">
        <f t="shared" si="14"/>
        <v>0.3000238482</v>
      </c>
      <c r="T7" s="19"/>
      <c r="U7" s="19"/>
      <c r="V7" s="19"/>
    </row>
    <row r="8">
      <c r="A8" s="13">
        <v>6.0</v>
      </c>
      <c r="B8" s="14" t="s">
        <v>26</v>
      </c>
      <c r="C8" s="15" t="s">
        <v>21</v>
      </c>
      <c r="D8" s="16">
        <v>8000.0</v>
      </c>
      <c r="E8" s="16">
        <v>22600.0</v>
      </c>
      <c r="F8" s="17">
        <f t="shared" si="1"/>
        <v>1864.5</v>
      </c>
      <c r="G8" s="17">
        <f t="shared" si="2"/>
        <v>1243</v>
      </c>
      <c r="H8" s="17">
        <f t="shared" si="3"/>
        <v>1017</v>
      </c>
      <c r="I8" s="17">
        <f t="shared" si="4"/>
        <v>678</v>
      </c>
      <c r="J8" s="17">
        <f t="shared" si="5"/>
        <v>0</v>
      </c>
      <c r="K8" s="17">
        <f t="shared" si="6"/>
        <v>452</v>
      </c>
      <c r="L8" s="17">
        <f t="shared" si="7"/>
        <v>452</v>
      </c>
      <c r="M8" s="17">
        <f t="shared" si="8"/>
        <v>1808</v>
      </c>
      <c r="N8" s="17">
        <f t="shared" si="9"/>
        <v>443.0461371</v>
      </c>
      <c r="O8" s="17">
        <f t="shared" si="10"/>
        <v>1130</v>
      </c>
      <c r="P8" s="16">
        <f t="shared" si="11"/>
        <v>14600</v>
      </c>
      <c r="Q8" s="18">
        <f t="shared" si="12"/>
        <v>0.6460176991</v>
      </c>
      <c r="R8" s="16">
        <f t="shared" si="13"/>
        <v>5512.453863</v>
      </c>
      <c r="S8" s="18">
        <f t="shared" si="14"/>
        <v>0.2439138877</v>
      </c>
      <c r="T8" s="19"/>
      <c r="U8" s="19"/>
      <c r="V8" s="19"/>
    </row>
    <row r="9">
      <c r="A9" s="13">
        <v>7.0</v>
      </c>
      <c r="B9" s="14" t="s">
        <v>27</v>
      </c>
      <c r="C9" s="15" t="s">
        <v>21</v>
      </c>
      <c r="D9" s="16">
        <v>8600.0</v>
      </c>
      <c r="E9" s="16">
        <v>24300.0</v>
      </c>
      <c r="F9" s="17">
        <f t="shared" si="1"/>
        <v>2004.75</v>
      </c>
      <c r="G9" s="17">
        <f t="shared" si="2"/>
        <v>1336.5</v>
      </c>
      <c r="H9" s="17">
        <f t="shared" si="3"/>
        <v>1093.5</v>
      </c>
      <c r="I9" s="17">
        <f t="shared" si="4"/>
        <v>729</v>
      </c>
      <c r="J9" s="17">
        <f t="shared" si="5"/>
        <v>0</v>
      </c>
      <c r="K9" s="17">
        <f t="shared" si="6"/>
        <v>486</v>
      </c>
      <c r="L9" s="17">
        <f t="shared" si="7"/>
        <v>486</v>
      </c>
      <c r="M9" s="17">
        <f t="shared" si="8"/>
        <v>1944</v>
      </c>
      <c r="N9" s="17">
        <f t="shared" si="9"/>
        <v>476.3726164</v>
      </c>
      <c r="O9" s="17">
        <f t="shared" si="10"/>
        <v>1215</v>
      </c>
      <c r="P9" s="16">
        <f t="shared" si="11"/>
        <v>15700</v>
      </c>
      <c r="Q9" s="18">
        <f t="shared" si="12"/>
        <v>0.646090535</v>
      </c>
      <c r="R9" s="16">
        <f t="shared" si="13"/>
        <v>5928.877384</v>
      </c>
      <c r="S9" s="18">
        <f t="shared" si="14"/>
        <v>0.2439867236</v>
      </c>
      <c r="T9" s="19"/>
      <c r="U9" s="19"/>
      <c r="V9" s="19"/>
    </row>
    <row r="10">
      <c r="A10" s="13">
        <v>8.0</v>
      </c>
      <c r="B10" s="14" t="s">
        <v>28</v>
      </c>
      <c r="C10" s="15" t="s">
        <v>21</v>
      </c>
      <c r="D10" s="16">
        <v>10500.0</v>
      </c>
      <c r="E10" s="16">
        <v>32300.0</v>
      </c>
      <c r="F10" s="17">
        <f t="shared" si="1"/>
        <v>2664.75</v>
      </c>
      <c r="G10" s="17">
        <f t="shared" si="2"/>
        <v>1776.5</v>
      </c>
      <c r="H10" s="17">
        <f t="shared" si="3"/>
        <v>1453.5</v>
      </c>
      <c r="I10" s="17">
        <f t="shared" si="4"/>
        <v>969</v>
      </c>
      <c r="J10" s="17">
        <f t="shared" si="5"/>
        <v>0</v>
      </c>
      <c r="K10" s="17">
        <f t="shared" si="6"/>
        <v>646</v>
      </c>
      <c r="L10" s="17">
        <f t="shared" si="7"/>
        <v>646</v>
      </c>
      <c r="M10" s="17">
        <f t="shared" si="8"/>
        <v>2584</v>
      </c>
      <c r="N10" s="17">
        <f t="shared" si="9"/>
        <v>633.2031074</v>
      </c>
      <c r="O10" s="17">
        <f t="shared" si="10"/>
        <v>1615</v>
      </c>
      <c r="P10" s="16">
        <f t="shared" si="11"/>
        <v>21800</v>
      </c>
      <c r="Q10" s="18">
        <f t="shared" si="12"/>
        <v>0.6749226006</v>
      </c>
      <c r="R10" s="16">
        <f t="shared" si="13"/>
        <v>8812.046893</v>
      </c>
      <c r="S10" s="18">
        <f t="shared" si="14"/>
        <v>0.2728187892</v>
      </c>
      <c r="T10" s="19"/>
      <c r="U10" s="19"/>
      <c r="V10" s="19"/>
    </row>
    <row r="11">
      <c r="A11" s="13">
        <v>9.0</v>
      </c>
      <c r="B11" s="14" t="s">
        <v>29</v>
      </c>
      <c r="C11" s="15" t="s">
        <v>21</v>
      </c>
      <c r="D11" s="16">
        <v>10500.0</v>
      </c>
      <c r="E11" s="16">
        <v>29700.0</v>
      </c>
      <c r="F11" s="17">
        <f t="shared" si="1"/>
        <v>2450.25</v>
      </c>
      <c r="G11" s="17">
        <f t="shared" si="2"/>
        <v>1633.5</v>
      </c>
      <c r="H11" s="17">
        <f t="shared" si="3"/>
        <v>1336.5</v>
      </c>
      <c r="I11" s="17">
        <f t="shared" si="4"/>
        <v>891</v>
      </c>
      <c r="J11" s="17">
        <f t="shared" si="5"/>
        <v>0</v>
      </c>
      <c r="K11" s="17">
        <f t="shared" si="6"/>
        <v>594</v>
      </c>
      <c r="L11" s="17">
        <f t="shared" si="7"/>
        <v>594</v>
      </c>
      <c r="M11" s="17">
        <f t="shared" si="8"/>
        <v>2376</v>
      </c>
      <c r="N11" s="17">
        <f t="shared" si="9"/>
        <v>582.2331978</v>
      </c>
      <c r="O11" s="17">
        <f t="shared" si="10"/>
        <v>1485</v>
      </c>
      <c r="P11" s="16">
        <f t="shared" si="11"/>
        <v>19200</v>
      </c>
      <c r="Q11" s="18">
        <f t="shared" si="12"/>
        <v>0.6464646465</v>
      </c>
      <c r="R11" s="16">
        <f t="shared" si="13"/>
        <v>7257.516802</v>
      </c>
      <c r="S11" s="18">
        <f t="shared" si="14"/>
        <v>0.2443608351</v>
      </c>
      <c r="T11" s="19"/>
      <c r="U11" s="19"/>
      <c r="V11" s="19"/>
    </row>
    <row r="12">
      <c r="A12" s="13">
        <v>10.0</v>
      </c>
      <c r="B12" s="14" t="s">
        <v>30</v>
      </c>
      <c r="C12" s="15" t="s">
        <v>21</v>
      </c>
      <c r="D12" s="16">
        <v>12100.0</v>
      </c>
      <c r="E12" s="16">
        <v>35600.0</v>
      </c>
      <c r="F12" s="17">
        <f t="shared" si="1"/>
        <v>2937</v>
      </c>
      <c r="G12" s="17">
        <f t="shared" si="2"/>
        <v>1958</v>
      </c>
      <c r="H12" s="17">
        <f t="shared" si="3"/>
        <v>1602</v>
      </c>
      <c r="I12" s="17">
        <f t="shared" si="4"/>
        <v>1068</v>
      </c>
      <c r="J12" s="17">
        <f t="shared" si="5"/>
        <v>0</v>
      </c>
      <c r="K12" s="17">
        <f t="shared" si="6"/>
        <v>712</v>
      </c>
      <c r="L12" s="17">
        <f t="shared" si="7"/>
        <v>712</v>
      </c>
      <c r="M12" s="17">
        <f t="shared" si="8"/>
        <v>2848</v>
      </c>
      <c r="N12" s="17">
        <f t="shared" si="9"/>
        <v>697.895685</v>
      </c>
      <c r="O12" s="17">
        <f t="shared" si="10"/>
        <v>1780</v>
      </c>
      <c r="P12" s="16">
        <f t="shared" si="11"/>
        <v>23500</v>
      </c>
      <c r="Q12" s="18">
        <f t="shared" si="12"/>
        <v>0.6601123596</v>
      </c>
      <c r="R12" s="16">
        <f t="shared" si="13"/>
        <v>9185.104315</v>
      </c>
      <c r="S12" s="18">
        <f t="shared" si="14"/>
        <v>0.2580085482</v>
      </c>
      <c r="T12" s="19"/>
      <c r="U12" s="19"/>
      <c r="V12" s="19"/>
    </row>
    <row r="13">
      <c r="A13" s="13">
        <v>11.0</v>
      </c>
      <c r="B13" s="14" t="s">
        <v>31</v>
      </c>
      <c r="C13" s="15" t="s">
        <v>21</v>
      </c>
      <c r="D13" s="16">
        <v>11500.0</v>
      </c>
      <c r="E13" s="16">
        <v>32500.0</v>
      </c>
      <c r="F13" s="17">
        <f t="shared" si="1"/>
        <v>2681.25</v>
      </c>
      <c r="G13" s="17">
        <f t="shared" si="2"/>
        <v>1787.5</v>
      </c>
      <c r="H13" s="17">
        <f t="shared" si="3"/>
        <v>1462.5</v>
      </c>
      <c r="I13" s="17">
        <f t="shared" si="4"/>
        <v>975</v>
      </c>
      <c r="J13" s="17">
        <f t="shared" si="5"/>
        <v>0</v>
      </c>
      <c r="K13" s="17">
        <f t="shared" si="6"/>
        <v>650</v>
      </c>
      <c r="L13" s="17">
        <f t="shared" si="7"/>
        <v>650</v>
      </c>
      <c r="M13" s="17">
        <f t="shared" si="8"/>
        <v>2600</v>
      </c>
      <c r="N13" s="17">
        <f t="shared" si="9"/>
        <v>637.1238697</v>
      </c>
      <c r="O13" s="17">
        <f t="shared" si="10"/>
        <v>1625</v>
      </c>
      <c r="P13" s="16">
        <f t="shared" si="11"/>
        <v>21000</v>
      </c>
      <c r="Q13" s="18">
        <f t="shared" si="12"/>
        <v>0.6461538462</v>
      </c>
      <c r="R13" s="16">
        <f t="shared" si="13"/>
        <v>7931.62613</v>
      </c>
      <c r="S13" s="18">
        <f t="shared" si="14"/>
        <v>0.2440500348</v>
      </c>
      <c r="T13" s="19"/>
      <c r="U13" s="19"/>
      <c r="V13" s="19"/>
    </row>
    <row r="14">
      <c r="A14" s="13">
        <v>12.0</v>
      </c>
      <c r="B14" s="14" t="s">
        <v>32</v>
      </c>
      <c r="C14" s="15" t="s">
        <v>21</v>
      </c>
      <c r="D14" s="16">
        <v>16000.0</v>
      </c>
      <c r="E14" s="16">
        <v>45200.0</v>
      </c>
      <c r="F14" s="17">
        <f t="shared" si="1"/>
        <v>3729</v>
      </c>
      <c r="G14" s="17">
        <f t="shared" si="2"/>
        <v>2486</v>
      </c>
      <c r="H14" s="17">
        <f t="shared" si="3"/>
        <v>2034</v>
      </c>
      <c r="I14" s="17">
        <f t="shared" si="4"/>
        <v>1356</v>
      </c>
      <c r="J14" s="17">
        <f t="shared" si="5"/>
        <v>0</v>
      </c>
      <c r="K14" s="17">
        <f t="shared" si="6"/>
        <v>904</v>
      </c>
      <c r="L14" s="17">
        <f t="shared" si="7"/>
        <v>904</v>
      </c>
      <c r="M14" s="17">
        <f t="shared" si="8"/>
        <v>3616</v>
      </c>
      <c r="N14" s="17">
        <f t="shared" si="9"/>
        <v>886.0922742</v>
      </c>
      <c r="O14" s="17">
        <f t="shared" si="10"/>
        <v>2260</v>
      </c>
      <c r="P14" s="16">
        <f t="shared" si="11"/>
        <v>29200</v>
      </c>
      <c r="Q14" s="18">
        <f t="shared" si="12"/>
        <v>0.6460176991</v>
      </c>
      <c r="R14" s="16">
        <f t="shared" si="13"/>
        <v>11024.90773</v>
      </c>
      <c r="S14" s="18">
        <f t="shared" si="14"/>
        <v>0.2439138877</v>
      </c>
      <c r="T14" s="19"/>
      <c r="U14" s="19"/>
      <c r="V14" s="19"/>
    </row>
    <row r="15">
      <c r="A15" s="13">
        <v>13.0</v>
      </c>
      <c r="B15" s="14" t="s">
        <v>33</v>
      </c>
      <c r="C15" s="15" t="s">
        <v>21</v>
      </c>
      <c r="D15" s="16">
        <v>15000.0</v>
      </c>
      <c r="E15" s="16">
        <v>42400.0</v>
      </c>
      <c r="F15" s="17">
        <f t="shared" si="1"/>
        <v>3498</v>
      </c>
      <c r="G15" s="17">
        <f t="shared" si="2"/>
        <v>2332</v>
      </c>
      <c r="H15" s="17">
        <f t="shared" si="3"/>
        <v>1908</v>
      </c>
      <c r="I15" s="17">
        <f t="shared" si="4"/>
        <v>1272</v>
      </c>
      <c r="J15" s="17">
        <f t="shared" si="5"/>
        <v>0</v>
      </c>
      <c r="K15" s="17">
        <f t="shared" si="6"/>
        <v>848</v>
      </c>
      <c r="L15" s="17">
        <f t="shared" si="7"/>
        <v>848</v>
      </c>
      <c r="M15" s="17">
        <f t="shared" si="8"/>
        <v>3392</v>
      </c>
      <c r="N15" s="17">
        <f t="shared" si="9"/>
        <v>831.2016023</v>
      </c>
      <c r="O15" s="17">
        <f t="shared" si="10"/>
        <v>2120</v>
      </c>
      <c r="P15" s="16">
        <f t="shared" si="11"/>
        <v>27400</v>
      </c>
      <c r="Q15" s="18">
        <f t="shared" si="12"/>
        <v>0.6462264151</v>
      </c>
      <c r="R15" s="16">
        <f t="shared" si="13"/>
        <v>10350.7984</v>
      </c>
      <c r="S15" s="18">
        <f t="shared" si="14"/>
        <v>0.2441226037</v>
      </c>
      <c r="T15" s="19"/>
      <c r="U15" s="19"/>
      <c r="V15" s="19"/>
    </row>
    <row r="16">
      <c r="A16" s="13">
        <v>14.0</v>
      </c>
      <c r="B16" s="14" t="s">
        <v>34</v>
      </c>
      <c r="C16" s="15" t="s">
        <v>21</v>
      </c>
      <c r="D16" s="16">
        <v>14000.0</v>
      </c>
      <c r="E16" s="16">
        <v>39600.0</v>
      </c>
      <c r="F16" s="17">
        <f t="shared" si="1"/>
        <v>3267</v>
      </c>
      <c r="G16" s="17">
        <f t="shared" si="2"/>
        <v>2178</v>
      </c>
      <c r="H16" s="17">
        <f t="shared" si="3"/>
        <v>1782</v>
      </c>
      <c r="I16" s="17">
        <f t="shared" si="4"/>
        <v>1188</v>
      </c>
      <c r="J16" s="17">
        <f t="shared" si="5"/>
        <v>0</v>
      </c>
      <c r="K16" s="17">
        <f t="shared" si="6"/>
        <v>792</v>
      </c>
      <c r="L16" s="17">
        <f t="shared" si="7"/>
        <v>792</v>
      </c>
      <c r="M16" s="17">
        <f t="shared" si="8"/>
        <v>3168</v>
      </c>
      <c r="N16" s="17">
        <f t="shared" si="9"/>
        <v>776.3109305</v>
      </c>
      <c r="O16" s="17">
        <f t="shared" si="10"/>
        <v>1980</v>
      </c>
      <c r="P16" s="16">
        <f t="shared" si="11"/>
        <v>25600</v>
      </c>
      <c r="Q16" s="18">
        <f t="shared" si="12"/>
        <v>0.6464646465</v>
      </c>
      <c r="R16" s="16">
        <f t="shared" si="13"/>
        <v>9676.68907</v>
      </c>
      <c r="S16" s="18">
        <f t="shared" si="14"/>
        <v>0.2443608351</v>
      </c>
      <c r="T16" s="19"/>
      <c r="U16" s="19"/>
      <c r="V16" s="19"/>
    </row>
    <row r="17">
      <c r="A17" s="13">
        <v>15.0</v>
      </c>
      <c r="B17" s="14" t="s">
        <v>35</v>
      </c>
      <c r="C17" s="15" t="s">
        <v>21</v>
      </c>
      <c r="D17" s="16">
        <v>17000.0</v>
      </c>
      <c r="E17" s="16">
        <v>48100.0</v>
      </c>
      <c r="F17" s="17">
        <f t="shared" si="1"/>
        <v>3968.25</v>
      </c>
      <c r="G17" s="17">
        <f t="shared" si="2"/>
        <v>2645.5</v>
      </c>
      <c r="H17" s="17">
        <f t="shared" si="3"/>
        <v>2164.5</v>
      </c>
      <c r="I17" s="17">
        <f t="shared" si="4"/>
        <v>1443</v>
      </c>
      <c r="J17" s="17">
        <f t="shared" si="5"/>
        <v>0</v>
      </c>
      <c r="K17" s="17">
        <f t="shared" si="6"/>
        <v>962</v>
      </c>
      <c r="L17" s="17">
        <f t="shared" si="7"/>
        <v>962</v>
      </c>
      <c r="M17" s="17">
        <f t="shared" si="8"/>
        <v>3848</v>
      </c>
      <c r="N17" s="17">
        <f t="shared" si="9"/>
        <v>942.9433271</v>
      </c>
      <c r="O17" s="17">
        <f t="shared" si="10"/>
        <v>2405</v>
      </c>
      <c r="P17" s="16">
        <f t="shared" si="11"/>
        <v>31100</v>
      </c>
      <c r="Q17" s="18">
        <f t="shared" si="12"/>
        <v>0.6465696466</v>
      </c>
      <c r="R17" s="16">
        <f t="shared" si="13"/>
        <v>11758.80667</v>
      </c>
      <c r="S17" s="18">
        <f t="shared" si="14"/>
        <v>0.2444658352</v>
      </c>
      <c r="T17" s="19"/>
      <c r="U17" s="19"/>
      <c r="V17" s="19"/>
    </row>
    <row r="18">
      <c r="A18" s="13">
        <v>16.0</v>
      </c>
      <c r="B18" s="14" t="s">
        <v>36</v>
      </c>
      <c r="C18" s="15" t="s">
        <v>21</v>
      </c>
      <c r="D18" s="16">
        <v>11000.0</v>
      </c>
      <c r="E18" s="16">
        <v>31100.0</v>
      </c>
      <c r="F18" s="17">
        <f t="shared" si="1"/>
        <v>2565.75</v>
      </c>
      <c r="G18" s="17">
        <f t="shared" si="2"/>
        <v>1710.5</v>
      </c>
      <c r="H18" s="17">
        <f t="shared" si="3"/>
        <v>1399.5</v>
      </c>
      <c r="I18" s="17">
        <f t="shared" si="4"/>
        <v>933</v>
      </c>
      <c r="J18" s="17">
        <f t="shared" si="5"/>
        <v>0</v>
      </c>
      <c r="K18" s="17">
        <f t="shared" si="6"/>
        <v>622</v>
      </c>
      <c r="L18" s="17">
        <f t="shared" si="7"/>
        <v>622</v>
      </c>
      <c r="M18" s="17">
        <f t="shared" si="8"/>
        <v>2488</v>
      </c>
      <c r="N18" s="17">
        <f t="shared" si="9"/>
        <v>609.6785338</v>
      </c>
      <c r="O18" s="17">
        <f t="shared" si="10"/>
        <v>1555</v>
      </c>
      <c r="P18" s="16">
        <f t="shared" si="11"/>
        <v>20100</v>
      </c>
      <c r="Q18" s="18">
        <f t="shared" si="12"/>
        <v>0.6463022508</v>
      </c>
      <c r="R18" s="16">
        <f t="shared" si="13"/>
        <v>7594.571466</v>
      </c>
      <c r="S18" s="18">
        <f t="shared" si="14"/>
        <v>0.2441984394</v>
      </c>
      <c r="T18" s="19"/>
      <c r="U18" s="19"/>
      <c r="V18" s="19"/>
    </row>
    <row r="19">
      <c r="A19" s="13">
        <v>17.0</v>
      </c>
      <c r="B19" s="14" t="s">
        <v>37</v>
      </c>
      <c r="C19" s="15" t="s">
        <v>21</v>
      </c>
      <c r="D19" s="16">
        <v>9000.0</v>
      </c>
      <c r="E19" s="16">
        <v>27000.0</v>
      </c>
      <c r="F19" s="17">
        <f t="shared" si="1"/>
        <v>2227.5</v>
      </c>
      <c r="G19" s="17">
        <f t="shared" si="2"/>
        <v>1485</v>
      </c>
      <c r="H19" s="17">
        <f t="shared" si="3"/>
        <v>1215</v>
      </c>
      <c r="I19" s="17">
        <f t="shared" si="4"/>
        <v>810</v>
      </c>
      <c r="J19" s="17">
        <f t="shared" si="5"/>
        <v>0</v>
      </c>
      <c r="K19" s="17">
        <f t="shared" si="6"/>
        <v>540</v>
      </c>
      <c r="L19" s="17">
        <f t="shared" si="7"/>
        <v>540</v>
      </c>
      <c r="M19" s="17">
        <f t="shared" si="8"/>
        <v>2160</v>
      </c>
      <c r="N19" s="17">
        <f t="shared" si="9"/>
        <v>529.3029071</v>
      </c>
      <c r="O19" s="17">
        <f t="shared" si="10"/>
        <v>1350</v>
      </c>
      <c r="P19" s="16">
        <f t="shared" si="11"/>
        <v>18000</v>
      </c>
      <c r="Q19" s="18">
        <f t="shared" si="12"/>
        <v>0.6666666667</v>
      </c>
      <c r="R19" s="16">
        <f t="shared" si="13"/>
        <v>7143.197093</v>
      </c>
      <c r="S19" s="18">
        <f t="shared" si="14"/>
        <v>0.2645628553</v>
      </c>
      <c r="T19" s="19"/>
      <c r="U19" s="19"/>
      <c r="V19" s="19"/>
    </row>
    <row r="20">
      <c r="A20" s="22">
        <v>18.0</v>
      </c>
      <c r="B20" s="23" t="s">
        <v>38</v>
      </c>
      <c r="C20" s="15" t="s">
        <v>39</v>
      </c>
      <c r="D20" s="24">
        <v>4000.0</v>
      </c>
      <c r="E20" s="24">
        <v>12900.0</v>
      </c>
      <c r="F20" s="17">
        <f t="shared" si="1"/>
        <v>1064.25</v>
      </c>
      <c r="G20" s="17">
        <f t="shared" si="2"/>
        <v>709.5</v>
      </c>
      <c r="H20" s="17">
        <f t="shared" si="3"/>
        <v>580.5</v>
      </c>
      <c r="I20" s="17">
        <f t="shared" si="4"/>
        <v>387</v>
      </c>
      <c r="J20" s="17">
        <f t="shared" si="5"/>
        <v>0</v>
      </c>
      <c r="K20" s="17">
        <f t="shared" si="6"/>
        <v>258</v>
      </c>
      <c r="L20" s="17">
        <f t="shared" si="7"/>
        <v>258</v>
      </c>
      <c r="M20" s="17">
        <f t="shared" si="8"/>
        <v>1032</v>
      </c>
      <c r="N20" s="17">
        <f t="shared" si="9"/>
        <v>252.8891667</v>
      </c>
      <c r="O20" s="17">
        <f t="shared" si="10"/>
        <v>645</v>
      </c>
      <c r="P20" s="16">
        <f t="shared" si="11"/>
        <v>8900</v>
      </c>
      <c r="Q20" s="18">
        <f t="shared" si="12"/>
        <v>0.6899224806</v>
      </c>
      <c r="R20" s="16">
        <f t="shared" si="13"/>
        <v>3712.860833</v>
      </c>
      <c r="S20" s="18">
        <f t="shared" si="14"/>
        <v>0.2878186692</v>
      </c>
      <c r="T20" s="19"/>
      <c r="U20" s="19"/>
      <c r="V20" s="19"/>
    </row>
    <row r="21">
      <c r="A21" s="13">
        <v>19.0</v>
      </c>
      <c r="B21" s="14" t="s">
        <v>40</v>
      </c>
      <c r="C21" s="15" t="s">
        <v>21</v>
      </c>
      <c r="D21" s="16">
        <v>13500.0</v>
      </c>
      <c r="E21" s="16">
        <v>38200.0</v>
      </c>
      <c r="F21" s="17">
        <f t="shared" si="1"/>
        <v>3151.5</v>
      </c>
      <c r="G21" s="17">
        <f t="shared" si="2"/>
        <v>2101</v>
      </c>
      <c r="H21" s="17">
        <f t="shared" si="3"/>
        <v>1719</v>
      </c>
      <c r="I21" s="17">
        <f t="shared" si="4"/>
        <v>1146</v>
      </c>
      <c r="J21" s="17">
        <f t="shared" si="5"/>
        <v>0</v>
      </c>
      <c r="K21" s="17">
        <f t="shared" si="6"/>
        <v>764</v>
      </c>
      <c r="L21" s="17">
        <f t="shared" si="7"/>
        <v>764</v>
      </c>
      <c r="M21" s="17">
        <f t="shared" si="8"/>
        <v>3056</v>
      </c>
      <c r="N21" s="17">
        <f t="shared" si="9"/>
        <v>748.8655945</v>
      </c>
      <c r="O21" s="17">
        <f t="shared" si="10"/>
        <v>1910</v>
      </c>
      <c r="P21" s="16">
        <f t="shared" si="11"/>
        <v>24700</v>
      </c>
      <c r="Q21" s="18">
        <f t="shared" si="12"/>
        <v>0.6465968586</v>
      </c>
      <c r="R21" s="16">
        <f t="shared" si="13"/>
        <v>9339.634405</v>
      </c>
      <c r="S21" s="18">
        <f t="shared" si="14"/>
        <v>0.2444930473</v>
      </c>
      <c r="T21" s="19"/>
      <c r="U21" s="19"/>
      <c r="V21" s="19"/>
    </row>
    <row r="22">
      <c r="A22" s="13">
        <v>20.0</v>
      </c>
      <c r="B22" s="14" t="s">
        <v>41</v>
      </c>
      <c r="C22" s="15" t="s">
        <v>42</v>
      </c>
      <c r="D22" s="16">
        <v>46013.52</v>
      </c>
      <c r="E22" s="16">
        <v>138500.0</v>
      </c>
      <c r="F22" s="17">
        <f t="shared" si="1"/>
        <v>11426.25</v>
      </c>
      <c r="G22" s="17">
        <f t="shared" si="2"/>
        <v>7617.5</v>
      </c>
      <c r="H22" s="17">
        <f t="shared" si="3"/>
        <v>6232.5</v>
      </c>
      <c r="I22" s="17">
        <f t="shared" si="4"/>
        <v>4155</v>
      </c>
      <c r="J22" s="17">
        <f t="shared" si="5"/>
        <v>0</v>
      </c>
      <c r="K22" s="17">
        <f t="shared" si="6"/>
        <v>2770</v>
      </c>
      <c r="L22" s="17">
        <f t="shared" si="7"/>
        <v>2770</v>
      </c>
      <c r="M22" s="17">
        <f t="shared" si="8"/>
        <v>11080</v>
      </c>
      <c r="N22" s="17">
        <f t="shared" si="9"/>
        <v>2715.127875</v>
      </c>
      <c r="O22" s="17">
        <f t="shared" si="10"/>
        <v>6925</v>
      </c>
      <c r="P22" s="16">
        <f t="shared" si="11"/>
        <v>92486.48</v>
      </c>
      <c r="Q22" s="18">
        <f t="shared" si="12"/>
        <v>0.6677724188</v>
      </c>
      <c r="R22" s="16">
        <f t="shared" si="13"/>
        <v>36795.10212</v>
      </c>
      <c r="S22" s="18">
        <f t="shared" si="14"/>
        <v>0.2656686074</v>
      </c>
      <c r="T22" s="19"/>
      <c r="U22" s="19"/>
      <c r="V22" s="19"/>
    </row>
    <row r="23">
      <c r="A23" s="13">
        <v>22.0</v>
      </c>
      <c r="B23" s="14" t="s">
        <v>43</v>
      </c>
      <c r="C23" s="15" t="s">
        <v>42</v>
      </c>
      <c r="D23" s="16">
        <v>45163.37</v>
      </c>
      <c r="E23" s="16">
        <v>122000.0</v>
      </c>
      <c r="F23" s="17">
        <f t="shared" si="1"/>
        <v>10065</v>
      </c>
      <c r="G23" s="17">
        <f t="shared" si="2"/>
        <v>6710</v>
      </c>
      <c r="H23" s="17">
        <f t="shared" si="3"/>
        <v>5490</v>
      </c>
      <c r="I23" s="17">
        <f t="shared" si="4"/>
        <v>3660</v>
      </c>
      <c r="J23" s="17">
        <f t="shared" si="5"/>
        <v>0</v>
      </c>
      <c r="K23" s="17">
        <f t="shared" si="6"/>
        <v>2440</v>
      </c>
      <c r="L23" s="17">
        <f t="shared" si="7"/>
        <v>2440</v>
      </c>
      <c r="M23" s="17">
        <f t="shared" si="8"/>
        <v>9760</v>
      </c>
      <c r="N23" s="17">
        <f t="shared" si="9"/>
        <v>2391.664988</v>
      </c>
      <c r="O23" s="17">
        <f t="shared" si="10"/>
        <v>6100</v>
      </c>
      <c r="P23" s="16">
        <f t="shared" si="11"/>
        <v>76836.63</v>
      </c>
      <c r="Q23" s="18">
        <f t="shared" si="12"/>
        <v>0.6298084426</v>
      </c>
      <c r="R23" s="16">
        <f t="shared" si="13"/>
        <v>27779.96501</v>
      </c>
      <c r="S23" s="18">
        <f t="shared" si="14"/>
        <v>0.2277046312</v>
      </c>
      <c r="T23" s="19"/>
      <c r="U23" s="19"/>
      <c r="V23" s="19"/>
    </row>
    <row r="24">
      <c r="A24" s="13">
        <v>23.0</v>
      </c>
      <c r="B24" s="14" t="s">
        <v>44</v>
      </c>
      <c r="C24" s="15" t="s">
        <v>42</v>
      </c>
      <c r="D24" s="16">
        <v>42293.7</v>
      </c>
      <c r="E24" s="16">
        <v>114700.0</v>
      </c>
      <c r="F24" s="17">
        <f t="shared" si="1"/>
        <v>9462.75</v>
      </c>
      <c r="G24" s="17">
        <f t="shared" si="2"/>
        <v>6308.5</v>
      </c>
      <c r="H24" s="17">
        <f t="shared" si="3"/>
        <v>5161.5</v>
      </c>
      <c r="I24" s="17">
        <f t="shared" si="4"/>
        <v>3441</v>
      </c>
      <c r="J24" s="17">
        <f t="shared" si="5"/>
        <v>0</v>
      </c>
      <c r="K24" s="17">
        <f t="shared" si="6"/>
        <v>2294</v>
      </c>
      <c r="L24" s="17">
        <f t="shared" si="7"/>
        <v>2294</v>
      </c>
      <c r="M24" s="17">
        <f t="shared" si="8"/>
        <v>9176</v>
      </c>
      <c r="N24" s="17">
        <f t="shared" si="9"/>
        <v>2248.557165</v>
      </c>
      <c r="O24" s="17">
        <f t="shared" si="10"/>
        <v>5735</v>
      </c>
      <c r="P24" s="16">
        <f t="shared" si="11"/>
        <v>72406.3</v>
      </c>
      <c r="Q24" s="18">
        <f t="shared" si="12"/>
        <v>0.6312667829</v>
      </c>
      <c r="R24" s="16">
        <f t="shared" si="13"/>
        <v>26284.99284</v>
      </c>
      <c r="S24" s="18">
        <f t="shared" si="14"/>
        <v>0.2291629715</v>
      </c>
      <c r="T24" s="19"/>
      <c r="U24" s="19"/>
      <c r="V24" s="19"/>
    </row>
    <row r="25">
      <c r="A25" s="13">
        <v>24.0</v>
      </c>
      <c r="B25" s="14" t="s">
        <v>45</v>
      </c>
      <c r="C25" s="15" t="s">
        <v>42</v>
      </c>
      <c r="D25" s="16">
        <v>31000.0</v>
      </c>
      <c r="E25" s="16">
        <v>90800.0</v>
      </c>
      <c r="F25" s="17">
        <f t="shared" si="1"/>
        <v>7491</v>
      </c>
      <c r="G25" s="17">
        <f t="shared" si="2"/>
        <v>4994</v>
      </c>
      <c r="H25" s="17">
        <f t="shared" si="3"/>
        <v>4086</v>
      </c>
      <c r="I25" s="17">
        <f t="shared" si="4"/>
        <v>2724</v>
      </c>
      <c r="J25" s="17">
        <f t="shared" si="5"/>
        <v>0</v>
      </c>
      <c r="K25" s="17">
        <f t="shared" si="6"/>
        <v>1816</v>
      </c>
      <c r="L25" s="17">
        <f t="shared" si="7"/>
        <v>1816</v>
      </c>
      <c r="M25" s="17">
        <f t="shared" si="8"/>
        <v>7264</v>
      </c>
      <c r="N25" s="17">
        <f t="shared" si="9"/>
        <v>1780.026073</v>
      </c>
      <c r="O25" s="17">
        <f t="shared" si="10"/>
        <v>4540</v>
      </c>
      <c r="P25" s="16">
        <f t="shared" si="11"/>
        <v>59800</v>
      </c>
      <c r="Q25" s="18">
        <f t="shared" si="12"/>
        <v>0.6585903084</v>
      </c>
      <c r="R25" s="16">
        <f t="shared" si="13"/>
        <v>23288.97393</v>
      </c>
      <c r="S25" s="18">
        <f t="shared" si="14"/>
        <v>0.256486497</v>
      </c>
      <c r="T25" s="19"/>
      <c r="U25" s="19"/>
      <c r="V25" s="19"/>
    </row>
    <row r="26">
      <c r="A26" s="13">
        <v>26.0</v>
      </c>
      <c r="B26" s="14" t="s">
        <v>46</v>
      </c>
      <c r="C26" s="15" t="s">
        <v>21</v>
      </c>
      <c r="D26" s="16">
        <v>7000.0</v>
      </c>
      <c r="E26" s="16">
        <v>20000.0</v>
      </c>
      <c r="F26" s="17">
        <f t="shared" si="1"/>
        <v>1650</v>
      </c>
      <c r="G26" s="17">
        <f t="shared" si="2"/>
        <v>1100</v>
      </c>
      <c r="H26" s="17">
        <f t="shared" si="3"/>
        <v>900</v>
      </c>
      <c r="I26" s="17">
        <f t="shared" si="4"/>
        <v>600</v>
      </c>
      <c r="J26" s="17">
        <f t="shared" si="5"/>
        <v>0</v>
      </c>
      <c r="K26" s="17">
        <f t="shared" si="6"/>
        <v>400</v>
      </c>
      <c r="L26" s="17">
        <f t="shared" si="7"/>
        <v>400</v>
      </c>
      <c r="M26" s="17">
        <f t="shared" si="8"/>
        <v>1600</v>
      </c>
      <c r="N26" s="17">
        <f t="shared" si="9"/>
        <v>392.0762275</v>
      </c>
      <c r="O26" s="17">
        <f t="shared" si="10"/>
        <v>1000</v>
      </c>
      <c r="P26" s="16">
        <f t="shared" si="11"/>
        <v>13000</v>
      </c>
      <c r="Q26" s="18">
        <f t="shared" si="12"/>
        <v>0.65</v>
      </c>
      <c r="R26" s="16">
        <f t="shared" si="13"/>
        <v>4957.923772</v>
      </c>
      <c r="S26" s="18">
        <f t="shared" si="14"/>
        <v>0.2478961886</v>
      </c>
      <c r="T26" s="19"/>
      <c r="U26" s="19"/>
      <c r="V26" s="19"/>
    </row>
    <row r="27">
      <c r="A27" s="13">
        <v>27.0</v>
      </c>
      <c r="B27" s="14" t="s">
        <v>47</v>
      </c>
      <c r="C27" s="15" t="s">
        <v>21</v>
      </c>
      <c r="D27" s="16">
        <v>18000.0</v>
      </c>
      <c r="E27" s="16">
        <v>50900.0</v>
      </c>
      <c r="F27" s="17">
        <f t="shared" si="1"/>
        <v>4199.25</v>
      </c>
      <c r="G27" s="17">
        <f t="shared" si="2"/>
        <v>2799.5</v>
      </c>
      <c r="H27" s="17">
        <f t="shared" si="3"/>
        <v>2290.5</v>
      </c>
      <c r="I27" s="17">
        <f t="shared" si="4"/>
        <v>1527</v>
      </c>
      <c r="J27" s="17">
        <f t="shared" si="5"/>
        <v>0</v>
      </c>
      <c r="K27" s="17">
        <f t="shared" si="6"/>
        <v>1018</v>
      </c>
      <c r="L27" s="17">
        <f t="shared" si="7"/>
        <v>1018</v>
      </c>
      <c r="M27" s="17">
        <f t="shared" si="8"/>
        <v>4072</v>
      </c>
      <c r="N27" s="17">
        <f t="shared" si="9"/>
        <v>997.833999</v>
      </c>
      <c r="O27" s="17">
        <f t="shared" si="10"/>
        <v>2545</v>
      </c>
      <c r="P27" s="16">
        <f t="shared" si="11"/>
        <v>32900</v>
      </c>
      <c r="Q27" s="18">
        <f t="shared" si="12"/>
        <v>0.6463654224</v>
      </c>
      <c r="R27" s="16">
        <f t="shared" si="13"/>
        <v>12432.916</v>
      </c>
      <c r="S27" s="18">
        <f t="shared" si="14"/>
        <v>0.244261611</v>
      </c>
      <c r="T27" s="19"/>
      <c r="U27" s="19"/>
      <c r="V27" s="19"/>
    </row>
    <row r="28">
      <c r="A28" s="13">
        <v>28.0</v>
      </c>
      <c r="B28" s="14" t="s">
        <v>48</v>
      </c>
      <c r="C28" s="15" t="s">
        <v>21</v>
      </c>
      <c r="D28" s="16">
        <v>9500.0</v>
      </c>
      <c r="E28" s="16">
        <v>26900.0</v>
      </c>
      <c r="F28" s="17">
        <f t="shared" si="1"/>
        <v>2219.25</v>
      </c>
      <c r="G28" s="17">
        <f t="shared" si="2"/>
        <v>1479.5</v>
      </c>
      <c r="H28" s="17">
        <f t="shared" si="3"/>
        <v>1210.5</v>
      </c>
      <c r="I28" s="17">
        <f t="shared" si="4"/>
        <v>807</v>
      </c>
      <c r="J28" s="17">
        <f t="shared" si="5"/>
        <v>0</v>
      </c>
      <c r="K28" s="17">
        <f t="shared" si="6"/>
        <v>538</v>
      </c>
      <c r="L28" s="17">
        <f t="shared" si="7"/>
        <v>538</v>
      </c>
      <c r="M28" s="17">
        <f t="shared" si="8"/>
        <v>2152</v>
      </c>
      <c r="N28" s="17">
        <f t="shared" si="9"/>
        <v>527.342526</v>
      </c>
      <c r="O28" s="17">
        <f t="shared" si="10"/>
        <v>1345</v>
      </c>
      <c r="P28" s="16">
        <f t="shared" si="11"/>
        <v>17400</v>
      </c>
      <c r="Q28" s="18">
        <f t="shared" si="12"/>
        <v>0.6468401487</v>
      </c>
      <c r="R28" s="16">
        <f t="shared" si="13"/>
        <v>6583.407474</v>
      </c>
      <c r="S28" s="18">
        <f t="shared" si="14"/>
        <v>0.2447363373</v>
      </c>
      <c r="T28" s="19"/>
      <c r="U28" s="19"/>
      <c r="V28" s="19"/>
    </row>
    <row r="29">
      <c r="A29" s="13">
        <v>29.0</v>
      </c>
      <c r="B29" s="14" t="s">
        <v>49</v>
      </c>
      <c r="C29" s="15" t="s">
        <v>21</v>
      </c>
      <c r="D29" s="16">
        <v>7500.0</v>
      </c>
      <c r="E29" s="16">
        <v>21200.0</v>
      </c>
      <c r="F29" s="17">
        <f t="shared" si="1"/>
        <v>1749</v>
      </c>
      <c r="G29" s="17">
        <f t="shared" si="2"/>
        <v>1166</v>
      </c>
      <c r="H29" s="17">
        <f t="shared" si="3"/>
        <v>954</v>
      </c>
      <c r="I29" s="17">
        <f t="shared" si="4"/>
        <v>636</v>
      </c>
      <c r="J29" s="17">
        <f t="shared" si="5"/>
        <v>0</v>
      </c>
      <c r="K29" s="17">
        <f t="shared" si="6"/>
        <v>424</v>
      </c>
      <c r="L29" s="17">
        <f t="shared" si="7"/>
        <v>424</v>
      </c>
      <c r="M29" s="17">
        <f t="shared" si="8"/>
        <v>1696</v>
      </c>
      <c r="N29" s="17">
        <f t="shared" si="9"/>
        <v>415.6008012</v>
      </c>
      <c r="O29" s="17">
        <f t="shared" si="10"/>
        <v>1060</v>
      </c>
      <c r="P29" s="16">
        <f t="shared" si="11"/>
        <v>13700</v>
      </c>
      <c r="Q29" s="18">
        <f t="shared" si="12"/>
        <v>0.6462264151</v>
      </c>
      <c r="R29" s="16">
        <f t="shared" si="13"/>
        <v>5175.399199</v>
      </c>
      <c r="S29" s="18">
        <f t="shared" si="14"/>
        <v>0.2441226037</v>
      </c>
      <c r="T29" s="19"/>
      <c r="U29" s="19"/>
      <c r="V29" s="19"/>
    </row>
    <row r="30">
      <c r="A30" s="13">
        <v>30.0</v>
      </c>
      <c r="B30" s="14" t="s">
        <v>50</v>
      </c>
      <c r="C30" s="15" t="s">
        <v>21</v>
      </c>
      <c r="D30" s="16">
        <v>10800.0</v>
      </c>
      <c r="E30" s="16">
        <v>35200.0</v>
      </c>
      <c r="F30" s="17">
        <f t="shared" si="1"/>
        <v>2904</v>
      </c>
      <c r="G30" s="17">
        <f t="shared" si="2"/>
        <v>1936</v>
      </c>
      <c r="H30" s="17">
        <f t="shared" si="3"/>
        <v>1584</v>
      </c>
      <c r="I30" s="17">
        <f t="shared" si="4"/>
        <v>1056</v>
      </c>
      <c r="J30" s="17">
        <f t="shared" si="5"/>
        <v>0</v>
      </c>
      <c r="K30" s="17">
        <f t="shared" si="6"/>
        <v>704</v>
      </c>
      <c r="L30" s="17">
        <f t="shared" si="7"/>
        <v>704</v>
      </c>
      <c r="M30" s="17">
        <f t="shared" si="8"/>
        <v>2816</v>
      </c>
      <c r="N30" s="17">
        <f t="shared" si="9"/>
        <v>690.0541604</v>
      </c>
      <c r="O30" s="17">
        <f t="shared" si="10"/>
        <v>1760</v>
      </c>
      <c r="P30" s="16">
        <f t="shared" si="11"/>
        <v>24400</v>
      </c>
      <c r="Q30" s="18">
        <f t="shared" si="12"/>
        <v>0.6931818182</v>
      </c>
      <c r="R30" s="16">
        <f t="shared" si="13"/>
        <v>10245.94584</v>
      </c>
      <c r="S30" s="18">
        <f t="shared" si="14"/>
        <v>0.2910780068</v>
      </c>
      <c r="T30" s="19"/>
      <c r="U30" s="19"/>
      <c r="V30" s="19"/>
    </row>
    <row r="31">
      <c r="A31" s="13">
        <v>31.0</v>
      </c>
      <c r="B31" s="14" t="s">
        <v>51</v>
      </c>
      <c r="C31" s="15" t="s">
        <v>21</v>
      </c>
      <c r="D31" s="16">
        <v>12000.0</v>
      </c>
      <c r="E31" s="16">
        <v>33900.0</v>
      </c>
      <c r="F31" s="17">
        <f t="shared" si="1"/>
        <v>2796.75</v>
      </c>
      <c r="G31" s="17">
        <f t="shared" si="2"/>
        <v>1864.5</v>
      </c>
      <c r="H31" s="17">
        <f t="shared" si="3"/>
        <v>1525.5</v>
      </c>
      <c r="I31" s="17">
        <f t="shared" si="4"/>
        <v>1017</v>
      </c>
      <c r="J31" s="17">
        <f t="shared" si="5"/>
        <v>0</v>
      </c>
      <c r="K31" s="17">
        <f t="shared" si="6"/>
        <v>678</v>
      </c>
      <c r="L31" s="17">
        <f t="shared" si="7"/>
        <v>678</v>
      </c>
      <c r="M31" s="17">
        <f t="shared" si="8"/>
        <v>2712</v>
      </c>
      <c r="N31" s="17">
        <f t="shared" si="9"/>
        <v>664.5692056</v>
      </c>
      <c r="O31" s="17">
        <f t="shared" si="10"/>
        <v>1695</v>
      </c>
      <c r="P31" s="16">
        <f t="shared" si="11"/>
        <v>21900</v>
      </c>
      <c r="Q31" s="18">
        <f t="shared" si="12"/>
        <v>0.6460176991</v>
      </c>
      <c r="R31" s="16">
        <f t="shared" si="13"/>
        <v>8268.680794</v>
      </c>
      <c r="S31" s="18">
        <f t="shared" si="14"/>
        <v>0.2439138877</v>
      </c>
      <c r="T31" s="19"/>
      <c r="U31" s="19"/>
      <c r="V31" s="19"/>
    </row>
    <row r="32">
      <c r="A32" s="13">
        <v>32.0</v>
      </c>
      <c r="B32" s="14" t="s">
        <v>52</v>
      </c>
      <c r="C32" s="15" t="s">
        <v>21</v>
      </c>
      <c r="D32" s="16">
        <v>12000.0</v>
      </c>
      <c r="E32" s="16">
        <v>33900.0</v>
      </c>
      <c r="F32" s="17">
        <f t="shared" si="1"/>
        <v>2796.75</v>
      </c>
      <c r="G32" s="17">
        <f t="shared" si="2"/>
        <v>1864.5</v>
      </c>
      <c r="H32" s="17">
        <f t="shared" si="3"/>
        <v>1525.5</v>
      </c>
      <c r="I32" s="17">
        <f t="shared" si="4"/>
        <v>1017</v>
      </c>
      <c r="J32" s="17">
        <f t="shared" si="5"/>
        <v>0</v>
      </c>
      <c r="K32" s="17">
        <f t="shared" si="6"/>
        <v>678</v>
      </c>
      <c r="L32" s="17">
        <f t="shared" si="7"/>
        <v>678</v>
      </c>
      <c r="M32" s="17">
        <f t="shared" si="8"/>
        <v>2712</v>
      </c>
      <c r="N32" s="17">
        <f t="shared" si="9"/>
        <v>664.5692056</v>
      </c>
      <c r="O32" s="17">
        <f t="shared" si="10"/>
        <v>1695</v>
      </c>
      <c r="P32" s="16">
        <f t="shared" si="11"/>
        <v>21900</v>
      </c>
      <c r="Q32" s="18">
        <f t="shared" si="12"/>
        <v>0.6460176991</v>
      </c>
      <c r="R32" s="16">
        <f t="shared" si="13"/>
        <v>8268.680794</v>
      </c>
      <c r="S32" s="18">
        <f t="shared" si="14"/>
        <v>0.2439138877</v>
      </c>
      <c r="T32" s="19"/>
      <c r="U32" s="19"/>
      <c r="V32" s="19"/>
    </row>
    <row r="33">
      <c r="A33" s="13">
        <v>33.0</v>
      </c>
      <c r="B33" s="14" t="s">
        <v>53</v>
      </c>
      <c r="C33" s="15" t="s">
        <v>21</v>
      </c>
      <c r="D33" s="16">
        <v>14500.0</v>
      </c>
      <c r="E33" s="16">
        <v>42000.0</v>
      </c>
      <c r="F33" s="17">
        <f t="shared" si="1"/>
        <v>3465</v>
      </c>
      <c r="G33" s="17">
        <f t="shared" si="2"/>
        <v>2310</v>
      </c>
      <c r="H33" s="17">
        <f t="shared" si="3"/>
        <v>1890</v>
      </c>
      <c r="I33" s="17">
        <f t="shared" si="4"/>
        <v>1260</v>
      </c>
      <c r="J33" s="17">
        <f t="shared" si="5"/>
        <v>0</v>
      </c>
      <c r="K33" s="17">
        <f t="shared" si="6"/>
        <v>840</v>
      </c>
      <c r="L33" s="17">
        <f t="shared" si="7"/>
        <v>840</v>
      </c>
      <c r="M33" s="17">
        <f t="shared" si="8"/>
        <v>3360</v>
      </c>
      <c r="N33" s="17">
        <f t="shared" si="9"/>
        <v>823.3600778</v>
      </c>
      <c r="O33" s="17">
        <f t="shared" si="10"/>
        <v>2100</v>
      </c>
      <c r="P33" s="16">
        <f t="shared" si="11"/>
        <v>27500</v>
      </c>
      <c r="Q33" s="18">
        <f t="shared" si="12"/>
        <v>0.6547619048</v>
      </c>
      <c r="R33" s="16">
        <f t="shared" si="13"/>
        <v>10611.63992</v>
      </c>
      <c r="S33" s="18">
        <f t="shared" si="14"/>
        <v>0.2526580934</v>
      </c>
      <c r="T33" s="19"/>
      <c r="U33" s="19"/>
      <c r="V33" s="19"/>
    </row>
    <row r="34">
      <c r="A34" s="13">
        <v>34.0</v>
      </c>
      <c r="B34" s="14" t="s">
        <v>54</v>
      </c>
      <c r="C34" s="15" t="s">
        <v>21</v>
      </c>
      <c r="D34" s="16">
        <v>11800.0</v>
      </c>
      <c r="E34" s="16">
        <v>33400.0</v>
      </c>
      <c r="F34" s="17">
        <f t="shared" si="1"/>
        <v>2755.5</v>
      </c>
      <c r="G34" s="17">
        <f t="shared" si="2"/>
        <v>1837</v>
      </c>
      <c r="H34" s="17">
        <f t="shared" si="3"/>
        <v>1503</v>
      </c>
      <c r="I34" s="17">
        <f t="shared" si="4"/>
        <v>1002</v>
      </c>
      <c r="J34" s="17">
        <f t="shared" si="5"/>
        <v>0</v>
      </c>
      <c r="K34" s="17">
        <f t="shared" si="6"/>
        <v>668</v>
      </c>
      <c r="L34" s="17">
        <f t="shared" si="7"/>
        <v>668</v>
      </c>
      <c r="M34" s="17">
        <f t="shared" si="8"/>
        <v>2672</v>
      </c>
      <c r="N34" s="17">
        <f t="shared" si="9"/>
        <v>654.7672999</v>
      </c>
      <c r="O34" s="17">
        <f t="shared" si="10"/>
        <v>1670</v>
      </c>
      <c r="P34" s="16">
        <f t="shared" si="11"/>
        <v>21600</v>
      </c>
      <c r="Q34" s="18">
        <f t="shared" si="12"/>
        <v>0.6467065868</v>
      </c>
      <c r="R34" s="16">
        <f t="shared" si="13"/>
        <v>8169.7327</v>
      </c>
      <c r="S34" s="18">
        <f t="shared" si="14"/>
        <v>0.2446027755</v>
      </c>
      <c r="T34" s="19"/>
      <c r="U34" s="19"/>
      <c r="V34" s="19"/>
    </row>
    <row r="35">
      <c r="A35" s="13">
        <v>35.0</v>
      </c>
      <c r="B35" s="14" t="s">
        <v>55</v>
      </c>
      <c r="C35" s="15" t="s">
        <v>21</v>
      </c>
      <c r="D35" s="16">
        <v>7500.0</v>
      </c>
      <c r="E35" s="16">
        <v>22300.0</v>
      </c>
      <c r="F35" s="17">
        <f t="shared" si="1"/>
        <v>1839.75</v>
      </c>
      <c r="G35" s="17">
        <f t="shared" si="2"/>
        <v>1226.5</v>
      </c>
      <c r="H35" s="17">
        <f t="shared" si="3"/>
        <v>1003.5</v>
      </c>
      <c r="I35" s="17">
        <f t="shared" si="4"/>
        <v>669</v>
      </c>
      <c r="J35" s="17">
        <f t="shared" si="5"/>
        <v>0</v>
      </c>
      <c r="K35" s="17">
        <f t="shared" si="6"/>
        <v>446</v>
      </c>
      <c r="L35" s="17">
        <f t="shared" si="7"/>
        <v>446</v>
      </c>
      <c r="M35" s="17">
        <f t="shared" si="8"/>
        <v>1784</v>
      </c>
      <c r="N35" s="17">
        <f t="shared" si="9"/>
        <v>437.1649937</v>
      </c>
      <c r="O35" s="17">
        <f t="shared" si="10"/>
        <v>1115</v>
      </c>
      <c r="P35" s="16">
        <f t="shared" si="11"/>
        <v>14800</v>
      </c>
      <c r="Q35" s="18">
        <f t="shared" si="12"/>
        <v>0.66367713</v>
      </c>
      <c r="R35" s="16">
        <f t="shared" si="13"/>
        <v>5833.085006</v>
      </c>
      <c r="S35" s="18">
        <f t="shared" si="14"/>
        <v>0.2615733187</v>
      </c>
      <c r="T35" s="19"/>
      <c r="U35" s="19"/>
      <c r="V35" s="19"/>
    </row>
    <row r="36">
      <c r="A36" s="13">
        <v>36.0</v>
      </c>
      <c r="B36" s="14" t="s">
        <v>56</v>
      </c>
      <c r="C36" s="15" t="s">
        <v>21</v>
      </c>
      <c r="D36" s="16">
        <v>15000.0</v>
      </c>
      <c r="E36" s="16">
        <v>42400.0</v>
      </c>
      <c r="F36" s="17">
        <f t="shared" si="1"/>
        <v>3498</v>
      </c>
      <c r="G36" s="17">
        <f t="shared" si="2"/>
        <v>2332</v>
      </c>
      <c r="H36" s="17">
        <f t="shared" si="3"/>
        <v>1908</v>
      </c>
      <c r="I36" s="17">
        <f t="shared" si="4"/>
        <v>1272</v>
      </c>
      <c r="J36" s="17">
        <f t="shared" si="5"/>
        <v>0</v>
      </c>
      <c r="K36" s="17">
        <f t="shared" si="6"/>
        <v>848</v>
      </c>
      <c r="L36" s="17">
        <f t="shared" si="7"/>
        <v>848</v>
      </c>
      <c r="M36" s="17">
        <f t="shared" si="8"/>
        <v>3392</v>
      </c>
      <c r="N36" s="17">
        <f t="shared" si="9"/>
        <v>831.2016023</v>
      </c>
      <c r="O36" s="17">
        <f t="shared" si="10"/>
        <v>2120</v>
      </c>
      <c r="P36" s="16">
        <f t="shared" si="11"/>
        <v>27400</v>
      </c>
      <c r="Q36" s="18">
        <f t="shared" si="12"/>
        <v>0.6462264151</v>
      </c>
      <c r="R36" s="16">
        <f t="shared" si="13"/>
        <v>10350.7984</v>
      </c>
      <c r="S36" s="18">
        <f t="shared" si="14"/>
        <v>0.2441226037</v>
      </c>
      <c r="T36" s="19"/>
      <c r="U36" s="19"/>
      <c r="V36" s="19"/>
    </row>
    <row r="37">
      <c r="A37" s="13">
        <v>37.0</v>
      </c>
      <c r="B37" s="14" t="s">
        <v>57</v>
      </c>
      <c r="C37" s="15" t="s">
        <v>21</v>
      </c>
      <c r="D37" s="16">
        <v>11000.0</v>
      </c>
      <c r="E37" s="16">
        <v>32700.0</v>
      </c>
      <c r="F37" s="17">
        <f t="shared" si="1"/>
        <v>2697.75</v>
      </c>
      <c r="G37" s="17">
        <f t="shared" si="2"/>
        <v>1798.5</v>
      </c>
      <c r="H37" s="17">
        <f t="shared" si="3"/>
        <v>1471.5</v>
      </c>
      <c r="I37" s="17">
        <f t="shared" si="4"/>
        <v>981</v>
      </c>
      <c r="J37" s="17">
        <f t="shared" si="5"/>
        <v>0</v>
      </c>
      <c r="K37" s="17">
        <f t="shared" si="6"/>
        <v>654</v>
      </c>
      <c r="L37" s="17">
        <f t="shared" si="7"/>
        <v>654</v>
      </c>
      <c r="M37" s="17">
        <f t="shared" si="8"/>
        <v>2616</v>
      </c>
      <c r="N37" s="17">
        <f t="shared" si="9"/>
        <v>641.044632</v>
      </c>
      <c r="O37" s="17">
        <f t="shared" si="10"/>
        <v>1635</v>
      </c>
      <c r="P37" s="16">
        <f t="shared" si="11"/>
        <v>21700</v>
      </c>
      <c r="Q37" s="18">
        <f t="shared" si="12"/>
        <v>0.6636085627</v>
      </c>
      <c r="R37" s="16">
        <f t="shared" si="13"/>
        <v>8551.205368</v>
      </c>
      <c r="S37" s="18">
        <f t="shared" si="14"/>
        <v>0.2615047513</v>
      </c>
      <c r="T37" s="19"/>
      <c r="U37" s="19"/>
      <c r="V37" s="19"/>
    </row>
    <row r="38">
      <c r="A38" s="13">
        <v>38.0</v>
      </c>
      <c r="B38" s="14" t="s">
        <v>58</v>
      </c>
      <c r="C38" s="15" t="s">
        <v>59</v>
      </c>
      <c r="D38" s="16">
        <v>527.0</v>
      </c>
      <c r="E38" s="16">
        <v>3000.0</v>
      </c>
      <c r="F38" s="17">
        <f t="shared" si="1"/>
        <v>247.5</v>
      </c>
      <c r="G38" s="17">
        <f t="shared" si="2"/>
        <v>165</v>
      </c>
      <c r="H38" s="17">
        <f t="shared" si="3"/>
        <v>135</v>
      </c>
      <c r="I38" s="17">
        <f t="shared" si="4"/>
        <v>90</v>
      </c>
      <c r="J38" s="17">
        <f t="shared" si="5"/>
        <v>0</v>
      </c>
      <c r="K38" s="17">
        <f t="shared" si="6"/>
        <v>60</v>
      </c>
      <c r="L38" s="17">
        <f t="shared" si="7"/>
        <v>60</v>
      </c>
      <c r="M38" s="17">
        <f t="shared" si="8"/>
        <v>240</v>
      </c>
      <c r="N38" s="17">
        <f t="shared" si="9"/>
        <v>58.81143413</v>
      </c>
      <c r="O38" s="17">
        <f t="shared" si="10"/>
        <v>150</v>
      </c>
      <c r="P38" s="16">
        <f t="shared" si="11"/>
        <v>2473</v>
      </c>
      <c r="Q38" s="18">
        <f t="shared" si="12"/>
        <v>0.8243333333</v>
      </c>
      <c r="R38" s="16">
        <f t="shared" si="13"/>
        <v>1266.688566</v>
      </c>
      <c r="S38" s="18">
        <f t="shared" si="14"/>
        <v>0.422229522</v>
      </c>
      <c r="T38" s="19"/>
      <c r="U38" s="19"/>
      <c r="V38" s="19"/>
    </row>
    <row r="39">
      <c r="A39" s="13">
        <v>39.0</v>
      </c>
      <c r="B39" s="14" t="s">
        <v>60</v>
      </c>
      <c r="C39" s="15" t="s">
        <v>59</v>
      </c>
      <c r="D39" s="16">
        <v>449.0</v>
      </c>
      <c r="E39" s="16">
        <v>3000.0</v>
      </c>
      <c r="F39" s="17">
        <f t="shared" si="1"/>
        <v>247.5</v>
      </c>
      <c r="G39" s="17">
        <f t="shared" si="2"/>
        <v>165</v>
      </c>
      <c r="H39" s="17">
        <f t="shared" si="3"/>
        <v>135</v>
      </c>
      <c r="I39" s="17">
        <f t="shared" si="4"/>
        <v>90</v>
      </c>
      <c r="J39" s="17">
        <f t="shared" si="5"/>
        <v>0</v>
      </c>
      <c r="K39" s="17">
        <f t="shared" si="6"/>
        <v>60</v>
      </c>
      <c r="L39" s="17">
        <f t="shared" si="7"/>
        <v>60</v>
      </c>
      <c r="M39" s="17">
        <f t="shared" si="8"/>
        <v>240</v>
      </c>
      <c r="N39" s="17">
        <f t="shared" si="9"/>
        <v>58.81143413</v>
      </c>
      <c r="O39" s="17">
        <f t="shared" si="10"/>
        <v>150</v>
      </c>
      <c r="P39" s="16">
        <f t="shared" si="11"/>
        <v>2551</v>
      </c>
      <c r="Q39" s="18">
        <f t="shared" si="12"/>
        <v>0.8503333333</v>
      </c>
      <c r="R39" s="16">
        <f t="shared" si="13"/>
        <v>1344.688566</v>
      </c>
      <c r="S39" s="18">
        <f t="shared" si="14"/>
        <v>0.448229522</v>
      </c>
      <c r="T39" s="19"/>
      <c r="U39" s="19"/>
      <c r="V39" s="19"/>
    </row>
    <row r="40">
      <c r="A40" s="13">
        <v>40.0</v>
      </c>
      <c r="B40" s="14" t="s">
        <v>61</v>
      </c>
      <c r="C40" s="15" t="s">
        <v>59</v>
      </c>
      <c r="D40" s="16">
        <v>1795.0</v>
      </c>
      <c r="E40" s="16">
        <v>5500.0</v>
      </c>
      <c r="F40" s="17">
        <f t="shared" si="1"/>
        <v>453.75</v>
      </c>
      <c r="G40" s="17">
        <f t="shared" si="2"/>
        <v>302.5</v>
      </c>
      <c r="H40" s="17">
        <f t="shared" si="3"/>
        <v>247.5</v>
      </c>
      <c r="I40" s="17">
        <f t="shared" si="4"/>
        <v>165</v>
      </c>
      <c r="J40" s="17">
        <f t="shared" si="5"/>
        <v>0</v>
      </c>
      <c r="K40" s="17">
        <f t="shared" si="6"/>
        <v>110</v>
      </c>
      <c r="L40" s="17">
        <f t="shared" si="7"/>
        <v>110</v>
      </c>
      <c r="M40" s="17">
        <f t="shared" si="8"/>
        <v>440</v>
      </c>
      <c r="N40" s="17">
        <f t="shared" si="9"/>
        <v>107.8209626</v>
      </c>
      <c r="O40" s="17">
        <f t="shared" si="10"/>
        <v>275</v>
      </c>
      <c r="P40" s="16">
        <f t="shared" si="11"/>
        <v>3705</v>
      </c>
      <c r="Q40" s="18">
        <f t="shared" si="12"/>
        <v>0.6736363636</v>
      </c>
      <c r="R40" s="16">
        <f t="shared" si="13"/>
        <v>1493.429037</v>
      </c>
      <c r="S40" s="18">
        <f t="shared" si="14"/>
        <v>0.2715325523</v>
      </c>
      <c r="T40" s="19"/>
      <c r="U40" s="19"/>
      <c r="V40" s="19"/>
    </row>
    <row r="41">
      <c r="A41" s="13">
        <v>41.0</v>
      </c>
      <c r="B41" s="14" t="s">
        <v>62</v>
      </c>
      <c r="C41" s="15" t="s">
        <v>21</v>
      </c>
      <c r="D41" s="16">
        <v>15000.0</v>
      </c>
      <c r="E41" s="16">
        <v>42400.0</v>
      </c>
      <c r="F41" s="17">
        <f t="shared" si="1"/>
        <v>3498</v>
      </c>
      <c r="G41" s="17">
        <f t="shared" si="2"/>
        <v>2332</v>
      </c>
      <c r="H41" s="17">
        <f t="shared" si="3"/>
        <v>1908</v>
      </c>
      <c r="I41" s="17">
        <f t="shared" si="4"/>
        <v>1272</v>
      </c>
      <c r="J41" s="17">
        <f t="shared" si="5"/>
        <v>0</v>
      </c>
      <c r="K41" s="17">
        <f t="shared" si="6"/>
        <v>848</v>
      </c>
      <c r="L41" s="17">
        <f t="shared" si="7"/>
        <v>848</v>
      </c>
      <c r="M41" s="17">
        <f t="shared" si="8"/>
        <v>3392</v>
      </c>
      <c r="N41" s="17">
        <f t="shared" si="9"/>
        <v>831.2016023</v>
      </c>
      <c r="O41" s="17">
        <f t="shared" si="10"/>
        <v>2120</v>
      </c>
      <c r="P41" s="16">
        <f t="shared" si="11"/>
        <v>27400</v>
      </c>
      <c r="Q41" s="18">
        <f t="shared" si="12"/>
        <v>0.6462264151</v>
      </c>
      <c r="R41" s="16">
        <f t="shared" si="13"/>
        <v>10350.7984</v>
      </c>
      <c r="S41" s="18">
        <f t="shared" si="14"/>
        <v>0.2441226037</v>
      </c>
      <c r="T41" s="19"/>
      <c r="U41" s="19"/>
      <c r="V41" s="19"/>
    </row>
    <row r="42">
      <c r="A42" s="13">
        <v>42.0</v>
      </c>
      <c r="B42" s="14" t="s">
        <v>63</v>
      </c>
      <c r="C42" s="15" t="s">
        <v>21</v>
      </c>
      <c r="D42" s="16">
        <v>14000.0</v>
      </c>
      <c r="E42" s="16">
        <v>39600.0</v>
      </c>
      <c r="F42" s="17">
        <f t="shared" si="1"/>
        <v>3267</v>
      </c>
      <c r="G42" s="17">
        <f t="shared" si="2"/>
        <v>2178</v>
      </c>
      <c r="H42" s="17">
        <f t="shared" si="3"/>
        <v>1782</v>
      </c>
      <c r="I42" s="17">
        <f t="shared" si="4"/>
        <v>1188</v>
      </c>
      <c r="J42" s="17">
        <f t="shared" si="5"/>
        <v>0</v>
      </c>
      <c r="K42" s="17">
        <f t="shared" si="6"/>
        <v>792</v>
      </c>
      <c r="L42" s="17">
        <f t="shared" si="7"/>
        <v>792</v>
      </c>
      <c r="M42" s="17">
        <f t="shared" si="8"/>
        <v>3168</v>
      </c>
      <c r="N42" s="17">
        <f t="shared" si="9"/>
        <v>776.3109305</v>
      </c>
      <c r="O42" s="17">
        <f t="shared" si="10"/>
        <v>1980</v>
      </c>
      <c r="P42" s="16">
        <f t="shared" si="11"/>
        <v>25600</v>
      </c>
      <c r="Q42" s="18">
        <f t="shared" si="12"/>
        <v>0.6464646465</v>
      </c>
      <c r="R42" s="16">
        <f t="shared" si="13"/>
        <v>9676.68907</v>
      </c>
      <c r="S42" s="18">
        <f t="shared" si="14"/>
        <v>0.2443608351</v>
      </c>
      <c r="T42" s="19"/>
      <c r="U42" s="19"/>
      <c r="V42" s="19"/>
    </row>
    <row r="43">
      <c r="A43" s="13">
        <v>43.0</v>
      </c>
      <c r="B43" s="14" t="s">
        <v>64</v>
      </c>
      <c r="C43" s="15" t="s">
        <v>21</v>
      </c>
      <c r="D43" s="16">
        <v>13000.0</v>
      </c>
      <c r="E43" s="16">
        <v>36700.0</v>
      </c>
      <c r="F43" s="17">
        <f t="shared" si="1"/>
        <v>3027.75</v>
      </c>
      <c r="G43" s="17">
        <f t="shared" si="2"/>
        <v>2018.5</v>
      </c>
      <c r="H43" s="17">
        <f t="shared" si="3"/>
        <v>1651.5</v>
      </c>
      <c r="I43" s="17">
        <f t="shared" si="4"/>
        <v>1101</v>
      </c>
      <c r="J43" s="17">
        <f t="shared" si="5"/>
        <v>0</v>
      </c>
      <c r="K43" s="17">
        <f t="shared" si="6"/>
        <v>734</v>
      </c>
      <c r="L43" s="17">
        <f t="shared" si="7"/>
        <v>734</v>
      </c>
      <c r="M43" s="17">
        <f t="shared" si="8"/>
        <v>2936</v>
      </c>
      <c r="N43" s="17">
        <f t="shared" si="9"/>
        <v>719.4598775</v>
      </c>
      <c r="O43" s="17">
        <f t="shared" si="10"/>
        <v>1835</v>
      </c>
      <c r="P43" s="16">
        <f t="shared" si="11"/>
        <v>23700</v>
      </c>
      <c r="Q43" s="18">
        <f t="shared" si="12"/>
        <v>0.6457765668</v>
      </c>
      <c r="R43" s="16">
        <f t="shared" si="13"/>
        <v>8942.790123</v>
      </c>
      <c r="S43" s="18">
        <f t="shared" si="14"/>
        <v>0.2436727554</v>
      </c>
      <c r="T43" s="19"/>
      <c r="U43" s="19"/>
      <c r="V43" s="19"/>
    </row>
    <row r="44">
      <c r="A44" s="13">
        <v>44.0</v>
      </c>
      <c r="B44" s="14" t="s">
        <v>65</v>
      </c>
      <c r="C44" s="15" t="s">
        <v>21</v>
      </c>
      <c r="D44" s="16">
        <v>16000.0</v>
      </c>
      <c r="E44" s="16">
        <v>45200.0</v>
      </c>
      <c r="F44" s="17">
        <f t="shared" si="1"/>
        <v>3729</v>
      </c>
      <c r="G44" s="17">
        <f t="shared" si="2"/>
        <v>2486</v>
      </c>
      <c r="H44" s="17">
        <f t="shared" si="3"/>
        <v>2034</v>
      </c>
      <c r="I44" s="17">
        <f t="shared" si="4"/>
        <v>1356</v>
      </c>
      <c r="J44" s="17">
        <f t="shared" si="5"/>
        <v>0</v>
      </c>
      <c r="K44" s="17">
        <f t="shared" si="6"/>
        <v>904</v>
      </c>
      <c r="L44" s="17">
        <f t="shared" si="7"/>
        <v>904</v>
      </c>
      <c r="M44" s="17">
        <f t="shared" si="8"/>
        <v>3616</v>
      </c>
      <c r="N44" s="17">
        <f t="shared" si="9"/>
        <v>886.0922742</v>
      </c>
      <c r="O44" s="17">
        <f t="shared" si="10"/>
        <v>2260</v>
      </c>
      <c r="P44" s="16">
        <f t="shared" si="11"/>
        <v>29200</v>
      </c>
      <c r="Q44" s="18">
        <f t="shared" si="12"/>
        <v>0.6460176991</v>
      </c>
      <c r="R44" s="16">
        <f t="shared" si="13"/>
        <v>11024.90773</v>
      </c>
      <c r="S44" s="18">
        <f t="shared" si="14"/>
        <v>0.2439138877</v>
      </c>
      <c r="T44" s="19"/>
      <c r="U44" s="19"/>
      <c r="V44" s="19"/>
    </row>
    <row r="45">
      <c r="A45" s="13">
        <v>45.0</v>
      </c>
      <c r="B45" s="14" t="s">
        <v>66</v>
      </c>
      <c r="C45" s="15" t="s">
        <v>21</v>
      </c>
      <c r="D45" s="16">
        <v>15500.0</v>
      </c>
      <c r="E45" s="16">
        <v>44300.0</v>
      </c>
      <c r="F45" s="17">
        <f t="shared" si="1"/>
        <v>3654.75</v>
      </c>
      <c r="G45" s="17">
        <f t="shared" si="2"/>
        <v>2436.5</v>
      </c>
      <c r="H45" s="17">
        <f t="shared" si="3"/>
        <v>1993.5</v>
      </c>
      <c r="I45" s="17">
        <f t="shared" si="4"/>
        <v>1329</v>
      </c>
      <c r="J45" s="17">
        <f t="shared" si="5"/>
        <v>0</v>
      </c>
      <c r="K45" s="17">
        <f t="shared" si="6"/>
        <v>886</v>
      </c>
      <c r="L45" s="17">
        <f t="shared" si="7"/>
        <v>886</v>
      </c>
      <c r="M45" s="17">
        <f t="shared" si="8"/>
        <v>3544</v>
      </c>
      <c r="N45" s="17">
        <f t="shared" si="9"/>
        <v>868.4488439</v>
      </c>
      <c r="O45" s="17">
        <f t="shared" si="10"/>
        <v>2215</v>
      </c>
      <c r="P45" s="16">
        <f t="shared" si="11"/>
        <v>28800</v>
      </c>
      <c r="Q45" s="18">
        <f t="shared" si="12"/>
        <v>0.6501128668</v>
      </c>
      <c r="R45" s="16">
        <f t="shared" si="13"/>
        <v>10986.80116</v>
      </c>
      <c r="S45" s="18">
        <f t="shared" si="14"/>
        <v>0.2480090554</v>
      </c>
      <c r="T45" s="19"/>
      <c r="U45" s="19"/>
      <c r="V45" s="19"/>
    </row>
    <row r="46">
      <c r="A46" s="13">
        <v>46.0</v>
      </c>
      <c r="B46" s="14" t="s">
        <v>67</v>
      </c>
      <c r="C46" s="15" t="s">
        <v>21</v>
      </c>
      <c r="D46" s="16">
        <v>14500.0</v>
      </c>
      <c r="E46" s="16">
        <v>42000.0</v>
      </c>
      <c r="F46" s="17">
        <f t="shared" si="1"/>
        <v>3465</v>
      </c>
      <c r="G46" s="17">
        <f t="shared" si="2"/>
        <v>2310</v>
      </c>
      <c r="H46" s="17">
        <f t="shared" si="3"/>
        <v>1890</v>
      </c>
      <c r="I46" s="17">
        <f t="shared" si="4"/>
        <v>1260</v>
      </c>
      <c r="J46" s="17">
        <f t="shared" si="5"/>
        <v>0</v>
      </c>
      <c r="K46" s="17">
        <f t="shared" si="6"/>
        <v>840</v>
      </c>
      <c r="L46" s="17">
        <f t="shared" si="7"/>
        <v>840</v>
      </c>
      <c r="M46" s="17">
        <f t="shared" si="8"/>
        <v>3360</v>
      </c>
      <c r="N46" s="17">
        <f t="shared" si="9"/>
        <v>823.3600778</v>
      </c>
      <c r="O46" s="17">
        <f t="shared" si="10"/>
        <v>2100</v>
      </c>
      <c r="P46" s="16">
        <f t="shared" si="11"/>
        <v>27500</v>
      </c>
      <c r="Q46" s="18">
        <f t="shared" si="12"/>
        <v>0.6547619048</v>
      </c>
      <c r="R46" s="16">
        <f t="shared" si="13"/>
        <v>10611.63992</v>
      </c>
      <c r="S46" s="18">
        <f t="shared" si="14"/>
        <v>0.2526580934</v>
      </c>
      <c r="T46" s="19"/>
      <c r="U46" s="19"/>
      <c r="V46" s="19"/>
    </row>
    <row r="47">
      <c r="A47" s="13">
        <v>46.0</v>
      </c>
      <c r="B47" s="14" t="s">
        <v>68</v>
      </c>
      <c r="C47" s="15" t="s">
        <v>21</v>
      </c>
      <c r="D47" s="16">
        <v>13500.0</v>
      </c>
      <c r="E47" s="16">
        <v>40300.0</v>
      </c>
      <c r="F47" s="17">
        <f t="shared" si="1"/>
        <v>3324.75</v>
      </c>
      <c r="G47" s="17">
        <f t="shared" si="2"/>
        <v>2216.5</v>
      </c>
      <c r="H47" s="17">
        <f t="shared" si="3"/>
        <v>1813.5</v>
      </c>
      <c r="I47" s="17">
        <f t="shared" si="4"/>
        <v>1209</v>
      </c>
      <c r="J47" s="17">
        <f t="shared" si="5"/>
        <v>0</v>
      </c>
      <c r="K47" s="17">
        <f t="shared" si="6"/>
        <v>806</v>
      </c>
      <c r="L47" s="17">
        <f t="shared" si="7"/>
        <v>806</v>
      </c>
      <c r="M47" s="17">
        <f t="shared" si="8"/>
        <v>3224</v>
      </c>
      <c r="N47" s="17">
        <f t="shared" si="9"/>
        <v>790.0335984</v>
      </c>
      <c r="O47" s="17">
        <f t="shared" si="10"/>
        <v>2015</v>
      </c>
      <c r="P47" s="16">
        <f t="shared" si="11"/>
        <v>26800</v>
      </c>
      <c r="Q47" s="18">
        <f t="shared" si="12"/>
        <v>0.6650124069</v>
      </c>
      <c r="R47" s="16">
        <f t="shared" si="13"/>
        <v>10595.2164</v>
      </c>
      <c r="S47" s="18">
        <f t="shared" si="14"/>
        <v>0.2629085956</v>
      </c>
      <c r="T47" s="19"/>
      <c r="U47" s="19"/>
      <c r="V47" s="19"/>
    </row>
    <row r="48">
      <c r="A48" s="13">
        <v>47.0</v>
      </c>
      <c r="B48" s="14" t="s">
        <v>69</v>
      </c>
      <c r="C48" s="15" t="s">
        <v>21</v>
      </c>
      <c r="D48" s="16">
        <v>8600.0</v>
      </c>
      <c r="E48" s="16">
        <v>25200.0</v>
      </c>
      <c r="F48" s="17">
        <f t="shared" si="1"/>
        <v>2079</v>
      </c>
      <c r="G48" s="17">
        <f t="shared" si="2"/>
        <v>1386</v>
      </c>
      <c r="H48" s="17">
        <f t="shared" si="3"/>
        <v>1134</v>
      </c>
      <c r="I48" s="17">
        <f t="shared" si="4"/>
        <v>756</v>
      </c>
      <c r="J48" s="17">
        <f t="shared" si="5"/>
        <v>0</v>
      </c>
      <c r="K48" s="17">
        <f t="shared" si="6"/>
        <v>504</v>
      </c>
      <c r="L48" s="17">
        <f t="shared" si="7"/>
        <v>504</v>
      </c>
      <c r="M48" s="17">
        <f t="shared" si="8"/>
        <v>2016</v>
      </c>
      <c r="N48" s="17">
        <f t="shared" si="9"/>
        <v>494.0160467</v>
      </c>
      <c r="O48" s="17">
        <f t="shared" si="10"/>
        <v>1260</v>
      </c>
      <c r="P48" s="16">
        <f t="shared" si="11"/>
        <v>16600</v>
      </c>
      <c r="Q48" s="18">
        <f t="shared" si="12"/>
        <v>0.6587301587</v>
      </c>
      <c r="R48" s="16">
        <f t="shared" si="13"/>
        <v>6466.983953</v>
      </c>
      <c r="S48" s="18">
        <f t="shared" si="14"/>
        <v>0.2566263474</v>
      </c>
      <c r="T48" s="19"/>
      <c r="U48" s="19"/>
      <c r="V48" s="19"/>
    </row>
    <row r="49">
      <c r="A49" s="13">
        <v>48.0</v>
      </c>
      <c r="B49" s="14" t="s">
        <v>70</v>
      </c>
      <c r="C49" s="15" t="s">
        <v>59</v>
      </c>
      <c r="D49" s="16">
        <v>500.0</v>
      </c>
      <c r="E49" s="16">
        <v>5000.0</v>
      </c>
      <c r="F49" s="17">
        <f t="shared" si="1"/>
        <v>412.5</v>
      </c>
      <c r="G49" s="17">
        <f t="shared" si="2"/>
        <v>275</v>
      </c>
      <c r="H49" s="17">
        <f t="shared" si="3"/>
        <v>225</v>
      </c>
      <c r="I49" s="17">
        <f t="shared" si="4"/>
        <v>150</v>
      </c>
      <c r="J49" s="17">
        <f t="shared" si="5"/>
        <v>0</v>
      </c>
      <c r="K49" s="17">
        <f t="shared" si="6"/>
        <v>100</v>
      </c>
      <c r="L49" s="17">
        <f t="shared" si="7"/>
        <v>100</v>
      </c>
      <c r="M49" s="17">
        <f t="shared" si="8"/>
        <v>400</v>
      </c>
      <c r="N49" s="17">
        <f t="shared" si="9"/>
        <v>98.01905688</v>
      </c>
      <c r="O49" s="17">
        <f t="shared" si="10"/>
        <v>250</v>
      </c>
      <c r="P49" s="16">
        <f t="shared" si="11"/>
        <v>4500</v>
      </c>
      <c r="Q49" s="18">
        <f t="shared" si="12"/>
        <v>0.9</v>
      </c>
      <c r="R49" s="16">
        <f t="shared" si="13"/>
        <v>2489.480943</v>
      </c>
      <c r="S49" s="18">
        <f t="shared" si="14"/>
        <v>0.4978961886</v>
      </c>
      <c r="T49" s="19"/>
      <c r="U49" s="19"/>
      <c r="V49" s="19"/>
    </row>
    <row r="50">
      <c r="A50" s="13">
        <v>49.0</v>
      </c>
      <c r="B50" s="14" t="s">
        <v>71</v>
      </c>
      <c r="C50" s="15" t="s">
        <v>42</v>
      </c>
      <c r="D50" s="16">
        <v>65000.0</v>
      </c>
      <c r="E50" s="16">
        <v>183700.0</v>
      </c>
      <c r="F50" s="17">
        <f t="shared" si="1"/>
        <v>15155.25</v>
      </c>
      <c r="G50" s="17">
        <f t="shared" si="2"/>
        <v>10103.5</v>
      </c>
      <c r="H50" s="17">
        <f t="shared" si="3"/>
        <v>8266.5</v>
      </c>
      <c r="I50" s="17">
        <f t="shared" si="4"/>
        <v>5511</v>
      </c>
      <c r="J50" s="17">
        <f t="shared" si="5"/>
        <v>0</v>
      </c>
      <c r="K50" s="17">
        <f t="shared" si="6"/>
        <v>3674</v>
      </c>
      <c r="L50" s="17">
        <f t="shared" si="7"/>
        <v>3674</v>
      </c>
      <c r="M50" s="17">
        <f t="shared" si="8"/>
        <v>14696</v>
      </c>
      <c r="N50" s="17">
        <f t="shared" si="9"/>
        <v>3601.22015</v>
      </c>
      <c r="O50" s="17">
        <f t="shared" si="10"/>
        <v>9185</v>
      </c>
      <c r="P50" s="16">
        <f t="shared" si="11"/>
        <v>118700</v>
      </c>
      <c r="Q50" s="18">
        <f t="shared" si="12"/>
        <v>0.646162221</v>
      </c>
      <c r="R50" s="16">
        <f t="shared" si="13"/>
        <v>44833.52985</v>
      </c>
      <c r="S50" s="18">
        <f t="shared" si="14"/>
        <v>0.2440584096</v>
      </c>
      <c r="T50" s="19"/>
      <c r="U50" s="19"/>
      <c r="V50" s="19"/>
    </row>
    <row r="51">
      <c r="A51" s="13">
        <v>50.0</v>
      </c>
      <c r="B51" s="14" t="s">
        <v>72</v>
      </c>
      <c r="C51" s="15" t="s">
        <v>21</v>
      </c>
      <c r="D51" s="16">
        <v>8500.0</v>
      </c>
      <c r="E51" s="16">
        <v>26700.0</v>
      </c>
      <c r="F51" s="17">
        <f t="shared" si="1"/>
        <v>2202.75</v>
      </c>
      <c r="G51" s="17">
        <f t="shared" si="2"/>
        <v>1468.5</v>
      </c>
      <c r="H51" s="17">
        <f t="shared" si="3"/>
        <v>1201.5</v>
      </c>
      <c r="I51" s="17">
        <f t="shared" si="4"/>
        <v>801</v>
      </c>
      <c r="J51" s="17">
        <f t="shared" si="5"/>
        <v>0</v>
      </c>
      <c r="K51" s="17">
        <f t="shared" si="6"/>
        <v>534</v>
      </c>
      <c r="L51" s="17">
        <f t="shared" si="7"/>
        <v>534</v>
      </c>
      <c r="M51" s="17">
        <f t="shared" si="8"/>
        <v>2136</v>
      </c>
      <c r="N51" s="17">
        <f t="shared" si="9"/>
        <v>523.4217637</v>
      </c>
      <c r="O51" s="17">
        <f t="shared" si="10"/>
        <v>1335</v>
      </c>
      <c r="P51" s="16">
        <f t="shared" si="11"/>
        <v>18200</v>
      </c>
      <c r="Q51" s="18">
        <f t="shared" si="12"/>
        <v>0.6816479401</v>
      </c>
      <c r="R51" s="16">
        <f t="shared" si="13"/>
        <v>7463.828236</v>
      </c>
      <c r="S51" s="18">
        <f t="shared" si="14"/>
        <v>0.2795441287</v>
      </c>
      <c r="T51" s="19"/>
      <c r="U51" s="19"/>
      <c r="V51" s="19"/>
    </row>
    <row r="52">
      <c r="A52" s="13">
        <v>51.0</v>
      </c>
      <c r="B52" s="14" t="s">
        <v>73</v>
      </c>
      <c r="C52" s="15" t="s">
        <v>39</v>
      </c>
      <c r="D52" s="16">
        <v>2750.0</v>
      </c>
      <c r="E52" s="16">
        <v>7800.0</v>
      </c>
      <c r="F52" s="17">
        <f t="shared" si="1"/>
        <v>643.5</v>
      </c>
      <c r="G52" s="17">
        <f t="shared" si="2"/>
        <v>429</v>
      </c>
      <c r="H52" s="17">
        <f t="shared" si="3"/>
        <v>351</v>
      </c>
      <c r="I52" s="17">
        <f t="shared" si="4"/>
        <v>234</v>
      </c>
      <c r="J52" s="17">
        <f t="shared" si="5"/>
        <v>0</v>
      </c>
      <c r="K52" s="17">
        <f t="shared" si="6"/>
        <v>156</v>
      </c>
      <c r="L52" s="17">
        <f t="shared" si="7"/>
        <v>156</v>
      </c>
      <c r="M52" s="17">
        <f t="shared" si="8"/>
        <v>624</v>
      </c>
      <c r="N52" s="17">
        <f t="shared" si="9"/>
        <v>152.9097287</v>
      </c>
      <c r="O52" s="17">
        <f t="shared" si="10"/>
        <v>390</v>
      </c>
      <c r="P52" s="16">
        <f t="shared" si="11"/>
        <v>5050</v>
      </c>
      <c r="Q52" s="18">
        <f t="shared" si="12"/>
        <v>0.6474358974</v>
      </c>
      <c r="R52" s="16">
        <f t="shared" si="13"/>
        <v>1913.590271</v>
      </c>
      <c r="S52" s="18">
        <f t="shared" si="14"/>
        <v>0.2453320861</v>
      </c>
      <c r="T52" s="19"/>
      <c r="U52" s="19"/>
      <c r="V52" s="19"/>
    </row>
    <row r="53">
      <c r="A53" s="13">
        <v>52.0</v>
      </c>
      <c r="B53" s="14" t="s">
        <v>74</v>
      </c>
      <c r="C53" s="15" t="s">
        <v>39</v>
      </c>
      <c r="D53" s="16">
        <v>3334.0</v>
      </c>
      <c r="E53" s="16">
        <v>11400.0</v>
      </c>
      <c r="F53" s="17">
        <f t="shared" si="1"/>
        <v>940.5</v>
      </c>
      <c r="G53" s="17">
        <f t="shared" si="2"/>
        <v>627</v>
      </c>
      <c r="H53" s="17">
        <f t="shared" si="3"/>
        <v>513</v>
      </c>
      <c r="I53" s="17">
        <f t="shared" si="4"/>
        <v>342</v>
      </c>
      <c r="J53" s="17">
        <f t="shared" si="5"/>
        <v>0</v>
      </c>
      <c r="K53" s="17">
        <f t="shared" si="6"/>
        <v>228</v>
      </c>
      <c r="L53" s="17">
        <f t="shared" si="7"/>
        <v>228</v>
      </c>
      <c r="M53" s="17">
        <f t="shared" si="8"/>
        <v>912</v>
      </c>
      <c r="N53" s="17">
        <f t="shared" si="9"/>
        <v>223.4834497</v>
      </c>
      <c r="O53" s="17">
        <f t="shared" si="10"/>
        <v>570</v>
      </c>
      <c r="P53" s="16">
        <f t="shared" si="11"/>
        <v>8066</v>
      </c>
      <c r="Q53" s="18">
        <f t="shared" si="12"/>
        <v>0.7075438596</v>
      </c>
      <c r="R53" s="16">
        <f t="shared" si="13"/>
        <v>3482.01655</v>
      </c>
      <c r="S53" s="18">
        <f t="shared" si="14"/>
        <v>0.3054400483</v>
      </c>
      <c r="T53" s="19"/>
      <c r="U53" s="19"/>
      <c r="V53" s="19"/>
    </row>
    <row r="54">
      <c r="A54" s="13">
        <v>53.0</v>
      </c>
      <c r="B54" s="14" t="s">
        <v>75</v>
      </c>
      <c r="C54" s="15" t="s">
        <v>21</v>
      </c>
      <c r="D54" s="16">
        <v>12100.0</v>
      </c>
      <c r="E54" s="16">
        <v>34200.0</v>
      </c>
      <c r="F54" s="17">
        <f t="shared" si="1"/>
        <v>2821.5</v>
      </c>
      <c r="G54" s="17">
        <f t="shared" si="2"/>
        <v>1881</v>
      </c>
      <c r="H54" s="17">
        <f t="shared" si="3"/>
        <v>1539</v>
      </c>
      <c r="I54" s="17">
        <f t="shared" si="4"/>
        <v>1026</v>
      </c>
      <c r="J54" s="17">
        <f t="shared" si="5"/>
        <v>0</v>
      </c>
      <c r="K54" s="17">
        <f t="shared" si="6"/>
        <v>684</v>
      </c>
      <c r="L54" s="17">
        <f t="shared" si="7"/>
        <v>684</v>
      </c>
      <c r="M54" s="17">
        <f t="shared" si="8"/>
        <v>2736</v>
      </c>
      <c r="N54" s="17">
        <f t="shared" si="9"/>
        <v>670.450349</v>
      </c>
      <c r="O54" s="17">
        <f t="shared" si="10"/>
        <v>1710</v>
      </c>
      <c r="P54" s="16">
        <f t="shared" si="11"/>
        <v>22100</v>
      </c>
      <c r="Q54" s="18">
        <f t="shared" si="12"/>
        <v>0.6461988304</v>
      </c>
      <c r="R54" s="16">
        <f t="shared" si="13"/>
        <v>8348.049651</v>
      </c>
      <c r="S54" s="18">
        <f t="shared" si="14"/>
        <v>0.244095019</v>
      </c>
      <c r="T54" s="19"/>
      <c r="U54" s="19"/>
      <c r="V54" s="19"/>
    </row>
    <row r="55">
      <c r="A55" s="13">
        <v>54.0</v>
      </c>
      <c r="B55" s="14" t="s">
        <v>76</v>
      </c>
      <c r="C55" s="15" t="s">
        <v>39</v>
      </c>
      <c r="D55" s="16">
        <v>18500.0</v>
      </c>
      <c r="E55" s="16">
        <v>52300.0</v>
      </c>
      <c r="F55" s="17">
        <f t="shared" si="1"/>
        <v>4314.75</v>
      </c>
      <c r="G55" s="17">
        <f t="shared" si="2"/>
        <v>2876.5</v>
      </c>
      <c r="H55" s="17">
        <f t="shared" si="3"/>
        <v>2353.5</v>
      </c>
      <c r="I55" s="17">
        <f t="shared" si="4"/>
        <v>1569</v>
      </c>
      <c r="J55" s="17">
        <f t="shared" si="5"/>
        <v>0</v>
      </c>
      <c r="K55" s="17">
        <f t="shared" si="6"/>
        <v>1046</v>
      </c>
      <c r="L55" s="17">
        <f t="shared" si="7"/>
        <v>1046</v>
      </c>
      <c r="M55" s="17">
        <f t="shared" si="8"/>
        <v>4184</v>
      </c>
      <c r="N55" s="17">
        <f t="shared" si="9"/>
        <v>1025.279335</v>
      </c>
      <c r="O55" s="17">
        <f t="shared" si="10"/>
        <v>2615</v>
      </c>
      <c r="P55" s="16">
        <f t="shared" si="11"/>
        <v>33800</v>
      </c>
      <c r="Q55" s="18">
        <f t="shared" si="12"/>
        <v>0.6462715105</v>
      </c>
      <c r="R55" s="16">
        <f t="shared" si="13"/>
        <v>12769.97067</v>
      </c>
      <c r="S55" s="18">
        <f t="shared" si="14"/>
        <v>0.2441676991</v>
      </c>
      <c r="T55" s="19"/>
      <c r="U55" s="19"/>
      <c r="V55" s="19"/>
    </row>
    <row r="56">
      <c r="A56" s="13">
        <v>55.0</v>
      </c>
      <c r="B56" s="14" t="s">
        <v>77</v>
      </c>
      <c r="C56" s="15" t="s">
        <v>21</v>
      </c>
      <c r="D56" s="16">
        <v>12300.0</v>
      </c>
      <c r="E56" s="16">
        <v>36300.0</v>
      </c>
      <c r="F56" s="17">
        <f t="shared" si="1"/>
        <v>2994.75</v>
      </c>
      <c r="G56" s="17">
        <f t="shared" si="2"/>
        <v>1996.5</v>
      </c>
      <c r="H56" s="17">
        <f t="shared" si="3"/>
        <v>1633.5</v>
      </c>
      <c r="I56" s="17">
        <f t="shared" si="4"/>
        <v>1089</v>
      </c>
      <c r="J56" s="17">
        <f t="shared" si="5"/>
        <v>0</v>
      </c>
      <c r="K56" s="17">
        <f t="shared" si="6"/>
        <v>726</v>
      </c>
      <c r="L56" s="17">
        <f t="shared" si="7"/>
        <v>726</v>
      </c>
      <c r="M56" s="17">
        <f t="shared" si="8"/>
        <v>2904</v>
      </c>
      <c r="N56" s="17">
        <f t="shared" si="9"/>
        <v>711.6183529</v>
      </c>
      <c r="O56" s="17">
        <f t="shared" si="10"/>
        <v>1815</v>
      </c>
      <c r="P56" s="16">
        <f t="shared" si="11"/>
        <v>24000</v>
      </c>
      <c r="Q56" s="18">
        <f t="shared" si="12"/>
        <v>0.6611570248</v>
      </c>
      <c r="R56" s="16">
        <f t="shared" si="13"/>
        <v>9403.631647</v>
      </c>
      <c r="S56" s="18">
        <f t="shared" si="14"/>
        <v>0.2590532134</v>
      </c>
      <c r="T56" s="19"/>
      <c r="U56" s="19"/>
      <c r="V56" s="19"/>
    </row>
    <row r="57">
      <c r="A57" s="13">
        <v>56.0</v>
      </c>
      <c r="B57" s="14" t="s">
        <v>78</v>
      </c>
      <c r="C57" s="15" t="s">
        <v>21</v>
      </c>
      <c r="D57" s="16">
        <v>11800.0</v>
      </c>
      <c r="E57" s="16">
        <v>33800.0</v>
      </c>
      <c r="F57" s="17">
        <f t="shared" si="1"/>
        <v>2788.5</v>
      </c>
      <c r="G57" s="17">
        <f t="shared" si="2"/>
        <v>1859</v>
      </c>
      <c r="H57" s="17">
        <f t="shared" si="3"/>
        <v>1521</v>
      </c>
      <c r="I57" s="17">
        <f t="shared" si="4"/>
        <v>1014</v>
      </c>
      <c r="J57" s="17">
        <f t="shared" si="5"/>
        <v>0</v>
      </c>
      <c r="K57" s="17">
        <f t="shared" si="6"/>
        <v>676</v>
      </c>
      <c r="L57" s="17">
        <f t="shared" si="7"/>
        <v>676</v>
      </c>
      <c r="M57" s="17">
        <f t="shared" si="8"/>
        <v>2704</v>
      </c>
      <c r="N57" s="17">
        <f t="shared" si="9"/>
        <v>662.6088245</v>
      </c>
      <c r="O57" s="17">
        <f t="shared" si="10"/>
        <v>1690</v>
      </c>
      <c r="P57" s="16">
        <f t="shared" si="11"/>
        <v>22000</v>
      </c>
      <c r="Q57" s="18">
        <f t="shared" si="12"/>
        <v>0.650887574</v>
      </c>
      <c r="R57" s="16">
        <f t="shared" si="13"/>
        <v>8408.891176</v>
      </c>
      <c r="S57" s="18">
        <f t="shared" si="14"/>
        <v>0.2487837626</v>
      </c>
      <c r="T57" s="19"/>
      <c r="U57" s="19"/>
      <c r="V57" s="19"/>
    </row>
    <row r="58">
      <c r="A58" s="13">
        <v>57.0</v>
      </c>
      <c r="B58" s="14" t="s">
        <v>79</v>
      </c>
      <c r="C58" s="15" t="s">
        <v>39</v>
      </c>
      <c r="D58" s="16">
        <v>16500.0</v>
      </c>
      <c r="E58" s="16">
        <v>46600.0</v>
      </c>
      <c r="F58" s="17">
        <f t="shared" si="1"/>
        <v>3844.5</v>
      </c>
      <c r="G58" s="17">
        <f t="shared" si="2"/>
        <v>2563</v>
      </c>
      <c r="H58" s="17">
        <f t="shared" si="3"/>
        <v>2097</v>
      </c>
      <c r="I58" s="17">
        <f t="shared" si="4"/>
        <v>1398</v>
      </c>
      <c r="J58" s="17">
        <f t="shared" si="5"/>
        <v>0</v>
      </c>
      <c r="K58" s="17">
        <f t="shared" si="6"/>
        <v>932</v>
      </c>
      <c r="L58" s="17">
        <f t="shared" si="7"/>
        <v>932</v>
      </c>
      <c r="M58" s="17">
        <f t="shared" si="8"/>
        <v>3728</v>
      </c>
      <c r="N58" s="17">
        <f t="shared" si="9"/>
        <v>913.5376101</v>
      </c>
      <c r="O58" s="17">
        <f t="shared" si="10"/>
        <v>2330</v>
      </c>
      <c r="P58" s="16">
        <f t="shared" si="11"/>
        <v>30100</v>
      </c>
      <c r="Q58" s="18">
        <f t="shared" si="12"/>
        <v>0.6459227468</v>
      </c>
      <c r="R58" s="16">
        <f t="shared" si="13"/>
        <v>11361.96239</v>
      </c>
      <c r="S58" s="18">
        <f t="shared" si="14"/>
        <v>0.2438189354</v>
      </c>
      <c r="T58" s="19"/>
      <c r="U58" s="19"/>
      <c r="V58" s="19"/>
    </row>
    <row r="59">
      <c r="A59" s="13">
        <v>58.0</v>
      </c>
      <c r="B59" s="14" t="s">
        <v>80</v>
      </c>
      <c r="C59" s="15" t="s">
        <v>39</v>
      </c>
      <c r="D59" s="16">
        <v>14000.0</v>
      </c>
      <c r="E59" s="16">
        <v>40500.0</v>
      </c>
      <c r="F59" s="17">
        <f t="shared" si="1"/>
        <v>3341.25</v>
      </c>
      <c r="G59" s="17">
        <f t="shared" si="2"/>
        <v>2227.5</v>
      </c>
      <c r="H59" s="17">
        <f t="shared" si="3"/>
        <v>1822.5</v>
      </c>
      <c r="I59" s="17">
        <f t="shared" si="4"/>
        <v>1215</v>
      </c>
      <c r="J59" s="17">
        <f t="shared" si="5"/>
        <v>0</v>
      </c>
      <c r="K59" s="17">
        <f t="shared" si="6"/>
        <v>810</v>
      </c>
      <c r="L59" s="17">
        <f t="shared" si="7"/>
        <v>810</v>
      </c>
      <c r="M59" s="17">
        <f t="shared" si="8"/>
        <v>3240</v>
      </c>
      <c r="N59" s="17">
        <f t="shared" si="9"/>
        <v>793.9543607</v>
      </c>
      <c r="O59" s="17">
        <f t="shared" si="10"/>
        <v>2025</v>
      </c>
      <c r="P59" s="16">
        <f t="shared" si="11"/>
        <v>26500</v>
      </c>
      <c r="Q59" s="18">
        <f t="shared" si="12"/>
        <v>0.6543209877</v>
      </c>
      <c r="R59" s="16">
        <f t="shared" si="13"/>
        <v>10214.79564</v>
      </c>
      <c r="S59" s="18">
        <f t="shared" si="14"/>
        <v>0.2522171763</v>
      </c>
      <c r="T59" s="19"/>
      <c r="U59" s="19"/>
      <c r="V59" s="19"/>
    </row>
    <row r="60">
      <c r="A60" s="13">
        <v>59.0</v>
      </c>
      <c r="B60" s="14" t="s">
        <v>81</v>
      </c>
      <c r="C60" s="15" t="s">
        <v>42</v>
      </c>
      <c r="D60" s="16">
        <v>12500.0</v>
      </c>
      <c r="E60" s="16">
        <v>35300.0</v>
      </c>
      <c r="F60" s="17">
        <f t="shared" si="1"/>
        <v>2912.25</v>
      </c>
      <c r="G60" s="17">
        <f t="shared" si="2"/>
        <v>1941.5</v>
      </c>
      <c r="H60" s="17">
        <f t="shared" si="3"/>
        <v>1588.5</v>
      </c>
      <c r="I60" s="17">
        <f t="shared" si="4"/>
        <v>1059</v>
      </c>
      <c r="J60" s="17">
        <f t="shared" si="5"/>
        <v>0</v>
      </c>
      <c r="K60" s="17">
        <f t="shared" si="6"/>
        <v>706</v>
      </c>
      <c r="L60" s="17">
        <f t="shared" si="7"/>
        <v>706</v>
      </c>
      <c r="M60" s="17">
        <f t="shared" si="8"/>
        <v>2824</v>
      </c>
      <c r="N60" s="17">
        <f t="shared" si="9"/>
        <v>692.0145415</v>
      </c>
      <c r="O60" s="17">
        <f t="shared" si="10"/>
        <v>1765</v>
      </c>
      <c r="P60" s="16">
        <f t="shared" si="11"/>
        <v>22800</v>
      </c>
      <c r="Q60" s="18">
        <f t="shared" si="12"/>
        <v>0.6458923513</v>
      </c>
      <c r="R60" s="16">
        <f t="shared" si="13"/>
        <v>8605.735458</v>
      </c>
      <c r="S60" s="18">
        <f t="shared" si="14"/>
        <v>0.2437885399</v>
      </c>
      <c r="T60" s="19"/>
      <c r="U60" s="19"/>
      <c r="V60" s="19"/>
    </row>
    <row r="61">
      <c r="A61" s="13">
        <v>60.0</v>
      </c>
      <c r="B61" s="14" t="s">
        <v>82</v>
      </c>
      <c r="C61" s="15" t="s">
        <v>42</v>
      </c>
      <c r="D61" s="16">
        <v>17000.0</v>
      </c>
      <c r="E61" s="16">
        <v>48100.0</v>
      </c>
      <c r="F61" s="17">
        <f t="shared" si="1"/>
        <v>3968.25</v>
      </c>
      <c r="G61" s="17">
        <f t="shared" si="2"/>
        <v>2645.5</v>
      </c>
      <c r="H61" s="17">
        <f t="shared" si="3"/>
        <v>2164.5</v>
      </c>
      <c r="I61" s="17">
        <f t="shared" si="4"/>
        <v>1443</v>
      </c>
      <c r="J61" s="17">
        <f t="shared" si="5"/>
        <v>0</v>
      </c>
      <c r="K61" s="17">
        <f t="shared" si="6"/>
        <v>962</v>
      </c>
      <c r="L61" s="17">
        <f t="shared" si="7"/>
        <v>962</v>
      </c>
      <c r="M61" s="17">
        <f t="shared" si="8"/>
        <v>3848</v>
      </c>
      <c r="N61" s="17">
        <f t="shared" si="9"/>
        <v>942.9433271</v>
      </c>
      <c r="O61" s="17">
        <f t="shared" si="10"/>
        <v>2405</v>
      </c>
      <c r="P61" s="16">
        <f t="shared" si="11"/>
        <v>31100</v>
      </c>
      <c r="Q61" s="18">
        <f t="shared" si="12"/>
        <v>0.6465696466</v>
      </c>
      <c r="R61" s="16">
        <f t="shared" si="13"/>
        <v>11758.80667</v>
      </c>
      <c r="S61" s="18">
        <f t="shared" si="14"/>
        <v>0.2444658352</v>
      </c>
      <c r="T61" s="19"/>
      <c r="U61" s="19"/>
      <c r="V61" s="19"/>
    </row>
    <row r="62">
      <c r="A62" s="13">
        <v>61.0</v>
      </c>
      <c r="B62" s="14" t="s">
        <v>83</v>
      </c>
      <c r="C62" s="15" t="s">
        <v>42</v>
      </c>
      <c r="D62" s="16">
        <v>20000.0</v>
      </c>
      <c r="E62" s="16">
        <v>56599.0</v>
      </c>
      <c r="F62" s="17">
        <f t="shared" si="1"/>
        <v>4669.4175</v>
      </c>
      <c r="G62" s="17">
        <f t="shared" si="2"/>
        <v>3112.945</v>
      </c>
      <c r="H62" s="17">
        <f t="shared" si="3"/>
        <v>2546.955</v>
      </c>
      <c r="I62" s="17">
        <f t="shared" si="4"/>
        <v>1697.97</v>
      </c>
      <c r="J62" s="17">
        <f t="shared" si="5"/>
        <v>0</v>
      </c>
      <c r="K62" s="17">
        <f t="shared" si="6"/>
        <v>1131.98</v>
      </c>
      <c r="L62" s="17">
        <f t="shared" si="7"/>
        <v>1131.98</v>
      </c>
      <c r="M62" s="17">
        <f t="shared" si="8"/>
        <v>4527.92</v>
      </c>
      <c r="N62" s="17">
        <f t="shared" si="9"/>
        <v>1109.55612</v>
      </c>
      <c r="O62" s="17">
        <f t="shared" si="10"/>
        <v>2829.95</v>
      </c>
      <c r="P62" s="16">
        <f t="shared" si="11"/>
        <v>36599</v>
      </c>
      <c r="Q62" s="18">
        <f t="shared" si="12"/>
        <v>0.6466368664</v>
      </c>
      <c r="R62" s="16">
        <f t="shared" si="13"/>
        <v>13840.32638</v>
      </c>
      <c r="S62" s="18">
        <f t="shared" si="14"/>
        <v>0.244533055</v>
      </c>
      <c r="T62" s="19"/>
      <c r="U62" s="19"/>
      <c r="V62" s="19"/>
    </row>
    <row r="63">
      <c r="A63" s="13">
        <v>62.0</v>
      </c>
      <c r="B63" s="14" t="s">
        <v>84</v>
      </c>
      <c r="C63" s="15" t="s">
        <v>21</v>
      </c>
      <c r="D63" s="16">
        <v>13500.0</v>
      </c>
      <c r="E63" s="16">
        <v>36700.0</v>
      </c>
      <c r="F63" s="17">
        <f t="shared" si="1"/>
        <v>3027.75</v>
      </c>
      <c r="G63" s="17">
        <f t="shared" si="2"/>
        <v>2018.5</v>
      </c>
      <c r="H63" s="17">
        <f t="shared" si="3"/>
        <v>1651.5</v>
      </c>
      <c r="I63" s="17">
        <f t="shared" si="4"/>
        <v>1101</v>
      </c>
      <c r="J63" s="17">
        <f t="shared" si="5"/>
        <v>0</v>
      </c>
      <c r="K63" s="17">
        <f t="shared" si="6"/>
        <v>734</v>
      </c>
      <c r="L63" s="17">
        <f t="shared" si="7"/>
        <v>734</v>
      </c>
      <c r="M63" s="17">
        <f t="shared" si="8"/>
        <v>2936</v>
      </c>
      <c r="N63" s="17">
        <f t="shared" si="9"/>
        <v>719.4598775</v>
      </c>
      <c r="O63" s="17">
        <f t="shared" si="10"/>
        <v>1835</v>
      </c>
      <c r="P63" s="16">
        <f t="shared" si="11"/>
        <v>23200</v>
      </c>
      <c r="Q63" s="18">
        <f t="shared" si="12"/>
        <v>0.6321525886</v>
      </c>
      <c r="R63" s="16">
        <f t="shared" si="13"/>
        <v>8442.790123</v>
      </c>
      <c r="S63" s="18">
        <f t="shared" si="14"/>
        <v>0.2300487772</v>
      </c>
      <c r="T63" s="19"/>
      <c r="U63" s="19"/>
      <c r="V63" s="19"/>
    </row>
    <row r="64">
      <c r="A64" s="13">
        <v>63.0</v>
      </c>
      <c r="B64" s="14" t="s">
        <v>85</v>
      </c>
      <c r="C64" s="15" t="s">
        <v>21</v>
      </c>
      <c r="D64" s="16">
        <v>13500.0</v>
      </c>
      <c r="E64" s="16">
        <v>38200.0</v>
      </c>
      <c r="F64" s="17">
        <f t="shared" si="1"/>
        <v>3151.5</v>
      </c>
      <c r="G64" s="17">
        <f t="shared" si="2"/>
        <v>2101</v>
      </c>
      <c r="H64" s="17">
        <f t="shared" si="3"/>
        <v>1719</v>
      </c>
      <c r="I64" s="17">
        <f t="shared" si="4"/>
        <v>1146</v>
      </c>
      <c r="J64" s="17">
        <f t="shared" si="5"/>
        <v>0</v>
      </c>
      <c r="K64" s="17">
        <f t="shared" si="6"/>
        <v>764</v>
      </c>
      <c r="L64" s="17">
        <f t="shared" si="7"/>
        <v>764</v>
      </c>
      <c r="M64" s="17">
        <f t="shared" si="8"/>
        <v>3056</v>
      </c>
      <c r="N64" s="17">
        <f t="shared" si="9"/>
        <v>748.8655945</v>
      </c>
      <c r="O64" s="17">
        <f t="shared" si="10"/>
        <v>1910</v>
      </c>
      <c r="P64" s="16">
        <f t="shared" si="11"/>
        <v>24700</v>
      </c>
      <c r="Q64" s="18">
        <f t="shared" si="12"/>
        <v>0.6465968586</v>
      </c>
      <c r="R64" s="16">
        <f t="shared" si="13"/>
        <v>9339.634405</v>
      </c>
      <c r="S64" s="18">
        <f t="shared" si="14"/>
        <v>0.2444930473</v>
      </c>
      <c r="T64" s="19"/>
      <c r="U64" s="19"/>
      <c r="V64" s="19"/>
    </row>
    <row r="65">
      <c r="A65" s="13">
        <v>64.0</v>
      </c>
      <c r="B65" s="14" t="s">
        <v>86</v>
      </c>
      <c r="C65" s="15" t="s">
        <v>87</v>
      </c>
      <c r="D65" s="16">
        <v>65968.0</v>
      </c>
      <c r="E65" s="16">
        <v>186500.0</v>
      </c>
      <c r="F65" s="17">
        <f t="shared" si="1"/>
        <v>15386.25</v>
      </c>
      <c r="G65" s="17">
        <f t="shared" si="2"/>
        <v>10257.5</v>
      </c>
      <c r="H65" s="17">
        <f t="shared" si="3"/>
        <v>8392.5</v>
      </c>
      <c r="I65" s="17">
        <f t="shared" si="4"/>
        <v>5595</v>
      </c>
      <c r="J65" s="17">
        <f t="shared" si="5"/>
        <v>0</v>
      </c>
      <c r="K65" s="17">
        <f t="shared" si="6"/>
        <v>3730</v>
      </c>
      <c r="L65" s="17">
        <f t="shared" si="7"/>
        <v>3730</v>
      </c>
      <c r="M65" s="17">
        <f t="shared" si="8"/>
        <v>14920</v>
      </c>
      <c r="N65" s="17">
        <f t="shared" si="9"/>
        <v>3656.110821</v>
      </c>
      <c r="O65" s="17">
        <f t="shared" si="10"/>
        <v>9325</v>
      </c>
      <c r="P65" s="16">
        <f t="shared" si="11"/>
        <v>120532</v>
      </c>
      <c r="Q65" s="18">
        <f t="shared" si="12"/>
        <v>0.6462841823</v>
      </c>
      <c r="R65" s="16">
        <f t="shared" si="13"/>
        <v>45539.63918</v>
      </c>
      <c r="S65" s="18">
        <f t="shared" si="14"/>
        <v>0.2441803709</v>
      </c>
      <c r="T65" s="19"/>
      <c r="U65" s="19"/>
      <c r="V65" s="19"/>
    </row>
    <row r="66">
      <c r="A66" s="13">
        <v>65.0</v>
      </c>
      <c r="B66" s="14" t="s">
        <v>88</v>
      </c>
      <c r="C66" s="15" t="s">
        <v>87</v>
      </c>
      <c r="D66" s="16">
        <v>101984.0</v>
      </c>
      <c r="E66" s="16">
        <v>263900.0</v>
      </c>
      <c r="F66" s="17">
        <f t="shared" si="1"/>
        <v>21771.75</v>
      </c>
      <c r="G66" s="17">
        <f t="shared" si="2"/>
        <v>14514.5</v>
      </c>
      <c r="H66" s="17">
        <f t="shared" si="3"/>
        <v>11875.5</v>
      </c>
      <c r="I66" s="17">
        <f t="shared" si="4"/>
        <v>7917</v>
      </c>
      <c r="J66" s="17">
        <f t="shared" si="5"/>
        <v>0</v>
      </c>
      <c r="K66" s="17">
        <f t="shared" si="6"/>
        <v>5278</v>
      </c>
      <c r="L66" s="17">
        <f t="shared" si="7"/>
        <v>5278</v>
      </c>
      <c r="M66" s="17">
        <f t="shared" si="8"/>
        <v>21112</v>
      </c>
      <c r="N66" s="17">
        <f t="shared" si="9"/>
        <v>5173.445822</v>
      </c>
      <c r="O66" s="17">
        <f t="shared" si="10"/>
        <v>13195</v>
      </c>
      <c r="P66" s="16">
        <f t="shared" si="11"/>
        <v>161916</v>
      </c>
      <c r="Q66" s="18">
        <f t="shared" si="12"/>
        <v>0.6135505873</v>
      </c>
      <c r="R66" s="16">
        <f t="shared" si="13"/>
        <v>55800.80418</v>
      </c>
      <c r="S66" s="18">
        <f t="shared" si="14"/>
        <v>0.211446776</v>
      </c>
      <c r="T66" s="19"/>
      <c r="U66" s="19"/>
      <c r="V66" s="19"/>
    </row>
    <row r="67">
      <c r="A67" s="13">
        <v>66.0</v>
      </c>
      <c r="B67" s="14" t="s">
        <v>89</v>
      </c>
      <c r="C67" s="15" t="s">
        <v>87</v>
      </c>
      <c r="D67" s="16">
        <v>65935.0</v>
      </c>
      <c r="E67" s="16">
        <v>257400.0</v>
      </c>
      <c r="F67" s="17">
        <f t="shared" si="1"/>
        <v>21235.5</v>
      </c>
      <c r="G67" s="17">
        <f t="shared" si="2"/>
        <v>14157</v>
      </c>
      <c r="H67" s="17">
        <f t="shared" si="3"/>
        <v>11583</v>
      </c>
      <c r="I67" s="17">
        <f t="shared" si="4"/>
        <v>7722</v>
      </c>
      <c r="J67" s="17">
        <f t="shared" si="5"/>
        <v>0</v>
      </c>
      <c r="K67" s="17">
        <f t="shared" si="6"/>
        <v>5148</v>
      </c>
      <c r="L67" s="17">
        <f t="shared" si="7"/>
        <v>5148</v>
      </c>
      <c r="M67" s="17">
        <f t="shared" si="8"/>
        <v>20592</v>
      </c>
      <c r="N67" s="17">
        <f t="shared" si="9"/>
        <v>5046.021048</v>
      </c>
      <c r="O67" s="17">
        <f t="shared" si="10"/>
        <v>12870</v>
      </c>
      <c r="P67" s="16">
        <f t="shared" si="11"/>
        <v>191465</v>
      </c>
      <c r="Q67" s="18">
        <f t="shared" si="12"/>
        <v>0.7438422688</v>
      </c>
      <c r="R67" s="16">
        <f t="shared" si="13"/>
        <v>87963.47895</v>
      </c>
      <c r="S67" s="18">
        <f t="shared" si="14"/>
        <v>0.3417384575</v>
      </c>
      <c r="T67" s="19"/>
      <c r="U67" s="19"/>
      <c r="V67" s="19"/>
    </row>
    <row r="68">
      <c r="A68" s="13">
        <v>67.0</v>
      </c>
      <c r="B68" s="14" t="s">
        <v>90</v>
      </c>
      <c r="C68" s="15" t="s">
        <v>87</v>
      </c>
      <c r="D68" s="16">
        <v>97269.0</v>
      </c>
      <c r="E68" s="16">
        <v>280000.0</v>
      </c>
      <c r="F68" s="17">
        <f t="shared" si="1"/>
        <v>23100</v>
      </c>
      <c r="G68" s="17">
        <f t="shared" si="2"/>
        <v>15400</v>
      </c>
      <c r="H68" s="17">
        <f t="shared" si="3"/>
        <v>12600</v>
      </c>
      <c r="I68" s="17">
        <f t="shared" si="4"/>
        <v>8400</v>
      </c>
      <c r="J68" s="17">
        <f t="shared" si="5"/>
        <v>0</v>
      </c>
      <c r="K68" s="17">
        <f t="shared" si="6"/>
        <v>5600</v>
      </c>
      <c r="L68" s="17">
        <f t="shared" si="7"/>
        <v>5600</v>
      </c>
      <c r="M68" s="17">
        <f t="shared" si="8"/>
        <v>22400</v>
      </c>
      <c r="N68" s="17">
        <f t="shared" si="9"/>
        <v>5489.067185</v>
      </c>
      <c r="O68" s="17">
        <f t="shared" si="10"/>
        <v>14000</v>
      </c>
      <c r="P68" s="16">
        <f t="shared" si="11"/>
        <v>182731</v>
      </c>
      <c r="Q68" s="18">
        <f t="shared" si="12"/>
        <v>0.6526107143</v>
      </c>
      <c r="R68" s="16">
        <f t="shared" si="13"/>
        <v>70141.93281</v>
      </c>
      <c r="S68" s="18">
        <f t="shared" si="14"/>
        <v>0.2505069029</v>
      </c>
      <c r="T68" s="19"/>
      <c r="U68" s="19"/>
      <c r="V68" s="19"/>
    </row>
    <row r="69">
      <c r="A69" s="13">
        <v>68.0</v>
      </c>
      <c r="B69" s="14" t="s">
        <v>91</v>
      </c>
      <c r="C69" s="15" t="s">
        <v>21</v>
      </c>
      <c r="D69" s="16">
        <v>10800.0</v>
      </c>
      <c r="E69" s="16">
        <v>32000.0</v>
      </c>
      <c r="F69" s="17">
        <f t="shared" si="1"/>
        <v>2640</v>
      </c>
      <c r="G69" s="17">
        <f t="shared" si="2"/>
        <v>1760</v>
      </c>
      <c r="H69" s="17">
        <f t="shared" si="3"/>
        <v>1440</v>
      </c>
      <c r="I69" s="17">
        <f t="shared" si="4"/>
        <v>960</v>
      </c>
      <c r="J69" s="17">
        <f t="shared" si="5"/>
        <v>0</v>
      </c>
      <c r="K69" s="17">
        <f t="shared" si="6"/>
        <v>640</v>
      </c>
      <c r="L69" s="17">
        <f t="shared" si="7"/>
        <v>640</v>
      </c>
      <c r="M69" s="17">
        <f t="shared" si="8"/>
        <v>2560</v>
      </c>
      <c r="N69" s="17">
        <f t="shared" si="9"/>
        <v>627.321964</v>
      </c>
      <c r="O69" s="17">
        <f t="shared" si="10"/>
        <v>1600</v>
      </c>
      <c r="P69" s="16">
        <f t="shared" si="11"/>
        <v>21200</v>
      </c>
      <c r="Q69" s="18">
        <f t="shared" si="12"/>
        <v>0.6625</v>
      </c>
      <c r="R69" s="16">
        <f t="shared" si="13"/>
        <v>8332.678036</v>
      </c>
      <c r="S69" s="18">
        <f t="shared" si="14"/>
        <v>0.2603961886</v>
      </c>
      <c r="T69" s="19"/>
      <c r="U69" s="19"/>
      <c r="V69" s="19"/>
    </row>
    <row r="70">
      <c r="A70" s="13">
        <v>72.0</v>
      </c>
      <c r="B70" s="14" t="s">
        <v>92</v>
      </c>
      <c r="C70" s="15" t="s">
        <v>21</v>
      </c>
      <c r="D70" s="16">
        <v>13000.0</v>
      </c>
      <c r="E70" s="16">
        <v>38900.0</v>
      </c>
      <c r="F70" s="17">
        <f t="shared" si="1"/>
        <v>3209.25</v>
      </c>
      <c r="G70" s="17">
        <f t="shared" si="2"/>
        <v>2139.5</v>
      </c>
      <c r="H70" s="17">
        <f t="shared" si="3"/>
        <v>1750.5</v>
      </c>
      <c r="I70" s="17">
        <f t="shared" si="4"/>
        <v>1167</v>
      </c>
      <c r="J70" s="17">
        <f t="shared" si="5"/>
        <v>0</v>
      </c>
      <c r="K70" s="17">
        <f t="shared" si="6"/>
        <v>778</v>
      </c>
      <c r="L70" s="17">
        <f t="shared" si="7"/>
        <v>778</v>
      </c>
      <c r="M70" s="17">
        <f t="shared" si="8"/>
        <v>3112</v>
      </c>
      <c r="N70" s="17">
        <f t="shared" si="9"/>
        <v>762.5882625</v>
      </c>
      <c r="O70" s="17">
        <f t="shared" si="10"/>
        <v>1945</v>
      </c>
      <c r="P70" s="16">
        <f t="shared" si="11"/>
        <v>25900</v>
      </c>
      <c r="Q70" s="18">
        <f t="shared" si="12"/>
        <v>0.6658097686</v>
      </c>
      <c r="R70" s="16">
        <f t="shared" si="13"/>
        <v>10258.16174</v>
      </c>
      <c r="S70" s="18">
        <f t="shared" si="14"/>
        <v>0.2637059573</v>
      </c>
      <c r="T70" s="19"/>
      <c r="U70" s="19"/>
      <c r="V70" s="19"/>
    </row>
    <row r="71">
      <c r="A71" s="13">
        <v>73.0</v>
      </c>
      <c r="B71" s="14" t="s">
        <v>93</v>
      </c>
      <c r="C71" s="15" t="s">
        <v>21</v>
      </c>
      <c r="D71" s="16">
        <v>8500.0</v>
      </c>
      <c r="E71" s="16">
        <v>24000.0</v>
      </c>
      <c r="F71" s="17">
        <f t="shared" si="1"/>
        <v>1980</v>
      </c>
      <c r="G71" s="17">
        <f t="shared" si="2"/>
        <v>1320</v>
      </c>
      <c r="H71" s="17">
        <f t="shared" si="3"/>
        <v>1080</v>
      </c>
      <c r="I71" s="17">
        <f t="shared" si="4"/>
        <v>720</v>
      </c>
      <c r="J71" s="17">
        <f t="shared" si="5"/>
        <v>0</v>
      </c>
      <c r="K71" s="17">
        <f t="shared" si="6"/>
        <v>480</v>
      </c>
      <c r="L71" s="17">
        <f t="shared" si="7"/>
        <v>480</v>
      </c>
      <c r="M71" s="17">
        <f t="shared" si="8"/>
        <v>1920</v>
      </c>
      <c r="N71" s="17">
        <f t="shared" si="9"/>
        <v>470.491473</v>
      </c>
      <c r="O71" s="17">
        <f t="shared" si="10"/>
        <v>1200</v>
      </c>
      <c r="P71" s="16">
        <f t="shared" si="11"/>
        <v>15500</v>
      </c>
      <c r="Q71" s="18">
        <f t="shared" si="12"/>
        <v>0.6458333333</v>
      </c>
      <c r="R71" s="16">
        <f t="shared" si="13"/>
        <v>5849.508527</v>
      </c>
      <c r="S71" s="18">
        <f t="shared" si="14"/>
        <v>0.243729522</v>
      </c>
      <c r="T71" s="19"/>
      <c r="U71" s="19"/>
      <c r="V71" s="19"/>
    </row>
    <row r="72">
      <c r="A72" s="13">
        <v>74.0</v>
      </c>
      <c r="B72" s="14" t="s">
        <v>94</v>
      </c>
      <c r="C72" s="15" t="s">
        <v>21</v>
      </c>
      <c r="D72" s="16">
        <v>10500.0</v>
      </c>
      <c r="E72" s="16">
        <v>30700.0</v>
      </c>
      <c r="F72" s="17">
        <f t="shared" si="1"/>
        <v>2532.75</v>
      </c>
      <c r="G72" s="17">
        <f t="shared" si="2"/>
        <v>1688.5</v>
      </c>
      <c r="H72" s="17">
        <f t="shared" si="3"/>
        <v>1381.5</v>
      </c>
      <c r="I72" s="17">
        <f t="shared" si="4"/>
        <v>921</v>
      </c>
      <c r="J72" s="17">
        <f t="shared" si="5"/>
        <v>0</v>
      </c>
      <c r="K72" s="17">
        <f t="shared" si="6"/>
        <v>614</v>
      </c>
      <c r="L72" s="17">
        <f t="shared" si="7"/>
        <v>614</v>
      </c>
      <c r="M72" s="17">
        <f t="shared" si="8"/>
        <v>2456</v>
      </c>
      <c r="N72" s="17">
        <f t="shared" si="9"/>
        <v>601.8370092</v>
      </c>
      <c r="O72" s="17">
        <f t="shared" si="10"/>
        <v>1535</v>
      </c>
      <c r="P72" s="16">
        <f t="shared" si="11"/>
        <v>20200</v>
      </c>
      <c r="Q72" s="18">
        <f t="shared" si="12"/>
        <v>0.657980456</v>
      </c>
      <c r="R72" s="16">
        <f t="shared" si="13"/>
        <v>7855.412991</v>
      </c>
      <c r="S72" s="18">
        <f t="shared" si="14"/>
        <v>0.2558766447</v>
      </c>
      <c r="T72" s="19"/>
      <c r="U72" s="19"/>
      <c r="V72" s="19"/>
    </row>
    <row r="73">
      <c r="A73" s="13">
        <v>75.0</v>
      </c>
      <c r="B73" s="14" t="s">
        <v>95</v>
      </c>
      <c r="C73" s="15" t="s">
        <v>21</v>
      </c>
      <c r="D73" s="16">
        <v>10600.0</v>
      </c>
      <c r="E73" s="16">
        <v>30000.0</v>
      </c>
      <c r="F73" s="17">
        <f t="shared" si="1"/>
        <v>2475</v>
      </c>
      <c r="G73" s="17">
        <f t="shared" si="2"/>
        <v>1650</v>
      </c>
      <c r="H73" s="17">
        <f t="shared" si="3"/>
        <v>1350</v>
      </c>
      <c r="I73" s="17">
        <f t="shared" si="4"/>
        <v>900</v>
      </c>
      <c r="J73" s="17">
        <f t="shared" si="5"/>
        <v>0</v>
      </c>
      <c r="K73" s="17">
        <f t="shared" si="6"/>
        <v>600</v>
      </c>
      <c r="L73" s="17">
        <f t="shared" si="7"/>
        <v>600</v>
      </c>
      <c r="M73" s="17">
        <f t="shared" si="8"/>
        <v>2400</v>
      </c>
      <c r="N73" s="17">
        <f t="shared" si="9"/>
        <v>588.1143413</v>
      </c>
      <c r="O73" s="17">
        <f t="shared" si="10"/>
        <v>1500</v>
      </c>
      <c r="P73" s="16">
        <f t="shared" si="11"/>
        <v>19400</v>
      </c>
      <c r="Q73" s="18">
        <f t="shared" si="12"/>
        <v>0.6466666667</v>
      </c>
      <c r="R73" s="16">
        <f t="shared" si="13"/>
        <v>7336.885659</v>
      </c>
      <c r="S73" s="18">
        <f t="shared" si="14"/>
        <v>0.2445628553</v>
      </c>
      <c r="T73" s="19"/>
      <c r="U73" s="19"/>
      <c r="V73" s="19"/>
    </row>
    <row r="74">
      <c r="A74" s="13">
        <v>76.0</v>
      </c>
      <c r="B74" s="14" t="s">
        <v>96</v>
      </c>
      <c r="C74" s="15" t="s">
        <v>21</v>
      </c>
      <c r="D74" s="16">
        <v>12100.0</v>
      </c>
      <c r="E74" s="16">
        <v>34200.0</v>
      </c>
      <c r="F74" s="17">
        <f t="shared" si="1"/>
        <v>2821.5</v>
      </c>
      <c r="G74" s="17">
        <f t="shared" si="2"/>
        <v>1881</v>
      </c>
      <c r="H74" s="17">
        <f t="shared" si="3"/>
        <v>1539</v>
      </c>
      <c r="I74" s="17">
        <f t="shared" si="4"/>
        <v>1026</v>
      </c>
      <c r="J74" s="17">
        <f t="shared" si="5"/>
        <v>0</v>
      </c>
      <c r="K74" s="17">
        <f t="shared" si="6"/>
        <v>684</v>
      </c>
      <c r="L74" s="17">
        <f t="shared" si="7"/>
        <v>684</v>
      </c>
      <c r="M74" s="17">
        <f t="shared" si="8"/>
        <v>2736</v>
      </c>
      <c r="N74" s="17">
        <f t="shared" si="9"/>
        <v>670.450349</v>
      </c>
      <c r="O74" s="17">
        <f t="shared" si="10"/>
        <v>1710</v>
      </c>
      <c r="P74" s="16">
        <f t="shared" si="11"/>
        <v>22100</v>
      </c>
      <c r="Q74" s="18">
        <f t="shared" si="12"/>
        <v>0.6461988304</v>
      </c>
      <c r="R74" s="16">
        <f t="shared" si="13"/>
        <v>8348.049651</v>
      </c>
      <c r="S74" s="18">
        <f t="shared" si="14"/>
        <v>0.244095019</v>
      </c>
      <c r="T74" s="19"/>
      <c r="U74" s="19"/>
      <c r="V74" s="19"/>
    </row>
    <row r="75">
      <c r="A75" s="13">
        <v>77.0</v>
      </c>
      <c r="B75" s="14" t="s">
        <v>97</v>
      </c>
      <c r="C75" s="15" t="s">
        <v>21</v>
      </c>
      <c r="D75" s="16">
        <v>11000.0</v>
      </c>
      <c r="E75" s="16">
        <v>32700.0</v>
      </c>
      <c r="F75" s="17">
        <f t="shared" si="1"/>
        <v>2697.75</v>
      </c>
      <c r="G75" s="17">
        <f t="shared" si="2"/>
        <v>1798.5</v>
      </c>
      <c r="H75" s="17">
        <f t="shared" si="3"/>
        <v>1471.5</v>
      </c>
      <c r="I75" s="17">
        <f t="shared" si="4"/>
        <v>981</v>
      </c>
      <c r="J75" s="17">
        <f t="shared" si="5"/>
        <v>0</v>
      </c>
      <c r="K75" s="17">
        <f t="shared" si="6"/>
        <v>654</v>
      </c>
      <c r="L75" s="17">
        <f t="shared" si="7"/>
        <v>654</v>
      </c>
      <c r="M75" s="17">
        <f t="shared" si="8"/>
        <v>2616</v>
      </c>
      <c r="N75" s="17">
        <f t="shared" si="9"/>
        <v>641.044632</v>
      </c>
      <c r="O75" s="17">
        <f t="shared" si="10"/>
        <v>1635</v>
      </c>
      <c r="P75" s="16">
        <f t="shared" si="11"/>
        <v>21700</v>
      </c>
      <c r="Q75" s="18">
        <f t="shared" si="12"/>
        <v>0.6636085627</v>
      </c>
      <c r="R75" s="16">
        <f t="shared" si="13"/>
        <v>8551.205368</v>
      </c>
      <c r="S75" s="18">
        <f t="shared" si="14"/>
        <v>0.2615047513</v>
      </c>
      <c r="T75" s="19"/>
      <c r="U75" s="19"/>
      <c r="V75" s="19"/>
    </row>
    <row r="76">
      <c r="A76" s="13">
        <v>78.0</v>
      </c>
      <c r="B76" s="14" t="s">
        <v>98</v>
      </c>
      <c r="C76" s="15" t="s">
        <v>21</v>
      </c>
      <c r="D76" s="16">
        <v>13500.0</v>
      </c>
      <c r="E76" s="16">
        <v>38200.0</v>
      </c>
      <c r="F76" s="17">
        <f t="shared" si="1"/>
        <v>3151.5</v>
      </c>
      <c r="G76" s="17">
        <f t="shared" si="2"/>
        <v>2101</v>
      </c>
      <c r="H76" s="17">
        <f t="shared" si="3"/>
        <v>1719</v>
      </c>
      <c r="I76" s="17">
        <f t="shared" si="4"/>
        <v>1146</v>
      </c>
      <c r="J76" s="17">
        <f t="shared" si="5"/>
        <v>0</v>
      </c>
      <c r="K76" s="17">
        <f t="shared" si="6"/>
        <v>764</v>
      </c>
      <c r="L76" s="17">
        <f t="shared" si="7"/>
        <v>764</v>
      </c>
      <c r="M76" s="17">
        <f t="shared" si="8"/>
        <v>3056</v>
      </c>
      <c r="N76" s="17">
        <f t="shared" si="9"/>
        <v>748.8655945</v>
      </c>
      <c r="O76" s="17">
        <f t="shared" si="10"/>
        <v>1910</v>
      </c>
      <c r="P76" s="16">
        <f t="shared" si="11"/>
        <v>24700</v>
      </c>
      <c r="Q76" s="18">
        <f t="shared" si="12"/>
        <v>0.6465968586</v>
      </c>
      <c r="R76" s="16">
        <f t="shared" si="13"/>
        <v>9339.634405</v>
      </c>
      <c r="S76" s="18">
        <f t="shared" si="14"/>
        <v>0.2444930473</v>
      </c>
      <c r="T76" s="19"/>
      <c r="U76" s="19"/>
      <c r="V76" s="19"/>
    </row>
    <row r="77">
      <c r="A77" s="13">
        <v>79.0</v>
      </c>
      <c r="B77" s="14" t="s">
        <v>99</v>
      </c>
      <c r="C77" s="15" t="s">
        <v>21</v>
      </c>
      <c r="D77" s="16">
        <v>13500.0</v>
      </c>
      <c r="E77" s="16">
        <v>39100.0</v>
      </c>
      <c r="F77" s="17">
        <f t="shared" si="1"/>
        <v>3225.75</v>
      </c>
      <c r="G77" s="17">
        <f t="shared" si="2"/>
        <v>2150.5</v>
      </c>
      <c r="H77" s="17">
        <f t="shared" si="3"/>
        <v>1759.5</v>
      </c>
      <c r="I77" s="17">
        <f t="shared" si="4"/>
        <v>1173</v>
      </c>
      <c r="J77" s="17">
        <f t="shared" si="5"/>
        <v>0</v>
      </c>
      <c r="K77" s="17">
        <f t="shared" si="6"/>
        <v>782</v>
      </c>
      <c r="L77" s="17">
        <f t="shared" si="7"/>
        <v>782</v>
      </c>
      <c r="M77" s="17">
        <f t="shared" si="8"/>
        <v>3128</v>
      </c>
      <c r="N77" s="17">
        <f t="shared" si="9"/>
        <v>766.5090248</v>
      </c>
      <c r="O77" s="17">
        <f t="shared" si="10"/>
        <v>1955</v>
      </c>
      <c r="P77" s="16">
        <f t="shared" si="11"/>
        <v>25600</v>
      </c>
      <c r="Q77" s="18">
        <f t="shared" si="12"/>
        <v>0.6547314578</v>
      </c>
      <c r="R77" s="16">
        <f t="shared" si="13"/>
        <v>9877.740975</v>
      </c>
      <c r="S77" s="18">
        <f t="shared" si="14"/>
        <v>0.2526276464</v>
      </c>
      <c r="T77" s="19"/>
      <c r="U77" s="19"/>
      <c r="V77" s="19"/>
    </row>
    <row r="78">
      <c r="A78" s="13">
        <v>81.0</v>
      </c>
      <c r="B78" s="14" t="s">
        <v>100</v>
      </c>
      <c r="C78" s="15" t="s">
        <v>59</v>
      </c>
      <c r="D78" s="16">
        <v>2000.0</v>
      </c>
      <c r="E78" s="16">
        <v>6000.0</v>
      </c>
      <c r="F78" s="17">
        <f t="shared" si="1"/>
        <v>495</v>
      </c>
      <c r="G78" s="17">
        <f t="shared" si="2"/>
        <v>330</v>
      </c>
      <c r="H78" s="17">
        <f t="shared" si="3"/>
        <v>270</v>
      </c>
      <c r="I78" s="17">
        <f t="shared" si="4"/>
        <v>180</v>
      </c>
      <c r="J78" s="17">
        <f t="shared" si="5"/>
        <v>0</v>
      </c>
      <c r="K78" s="17">
        <f t="shared" si="6"/>
        <v>120</v>
      </c>
      <c r="L78" s="17">
        <f t="shared" si="7"/>
        <v>120</v>
      </c>
      <c r="M78" s="17">
        <f t="shared" si="8"/>
        <v>480</v>
      </c>
      <c r="N78" s="17">
        <f t="shared" si="9"/>
        <v>117.6228683</v>
      </c>
      <c r="O78" s="17">
        <f t="shared" si="10"/>
        <v>300</v>
      </c>
      <c r="P78" s="16">
        <f t="shared" si="11"/>
        <v>4000</v>
      </c>
      <c r="Q78" s="18">
        <f t="shared" si="12"/>
        <v>0.6666666667</v>
      </c>
      <c r="R78" s="16">
        <f t="shared" si="13"/>
        <v>1587.377132</v>
      </c>
      <c r="S78" s="18">
        <f t="shared" si="14"/>
        <v>0.2645628553</v>
      </c>
      <c r="T78" s="19"/>
      <c r="U78" s="19"/>
      <c r="V78" s="19"/>
    </row>
    <row r="79">
      <c r="A79" s="13">
        <v>82.0</v>
      </c>
      <c r="B79" s="14" t="s">
        <v>101</v>
      </c>
      <c r="C79" s="15" t="s">
        <v>59</v>
      </c>
      <c r="D79" s="16">
        <v>6931.0</v>
      </c>
      <c r="E79" s="16">
        <v>22400.0</v>
      </c>
      <c r="F79" s="17">
        <f t="shared" si="1"/>
        <v>1848</v>
      </c>
      <c r="G79" s="17">
        <f t="shared" si="2"/>
        <v>1232</v>
      </c>
      <c r="H79" s="17">
        <f t="shared" si="3"/>
        <v>1008</v>
      </c>
      <c r="I79" s="17">
        <f t="shared" si="4"/>
        <v>672</v>
      </c>
      <c r="J79" s="17">
        <f t="shared" si="5"/>
        <v>0</v>
      </c>
      <c r="K79" s="17">
        <f t="shared" si="6"/>
        <v>448</v>
      </c>
      <c r="L79" s="17">
        <f t="shared" si="7"/>
        <v>448</v>
      </c>
      <c r="M79" s="17">
        <f t="shared" si="8"/>
        <v>1792</v>
      </c>
      <c r="N79" s="17">
        <f t="shared" si="9"/>
        <v>439.1253748</v>
      </c>
      <c r="O79" s="17">
        <f t="shared" si="10"/>
        <v>1120</v>
      </c>
      <c r="P79" s="16">
        <f t="shared" si="11"/>
        <v>15469</v>
      </c>
      <c r="Q79" s="18">
        <f t="shared" si="12"/>
        <v>0.6905803571</v>
      </c>
      <c r="R79" s="16">
        <f t="shared" si="13"/>
        <v>6461.874625</v>
      </c>
      <c r="S79" s="18">
        <f t="shared" si="14"/>
        <v>0.2884765458</v>
      </c>
      <c r="T79" s="19"/>
      <c r="U79" s="19"/>
      <c r="V79" s="19"/>
    </row>
    <row r="80">
      <c r="A80" s="13">
        <v>83.0</v>
      </c>
      <c r="B80" s="14" t="s">
        <v>102</v>
      </c>
      <c r="C80" s="15" t="s">
        <v>21</v>
      </c>
      <c r="D80" s="16">
        <v>9700.0</v>
      </c>
      <c r="E80" s="16">
        <v>26600.0</v>
      </c>
      <c r="F80" s="17">
        <f t="shared" si="1"/>
        <v>2194.5</v>
      </c>
      <c r="G80" s="17">
        <f t="shared" si="2"/>
        <v>1463</v>
      </c>
      <c r="H80" s="17">
        <f t="shared" si="3"/>
        <v>1197</v>
      </c>
      <c r="I80" s="17">
        <f t="shared" si="4"/>
        <v>798</v>
      </c>
      <c r="J80" s="17">
        <f t="shared" si="5"/>
        <v>0</v>
      </c>
      <c r="K80" s="17">
        <f t="shared" si="6"/>
        <v>532</v>
      </c>
      <c r="L80" s="17">
        <f t="shared" si="7"/>
        <v>532</v>
      </c>
      <c r="M80" s="17">
        <f t="shared" si="8"/>
        <v>2128</v>
      </c>
      <c r="N80" s="17">
        <f t="shared" si="9"/>
        <v>521.4613826</v>
      </c>
      <c r="O80" s="17">
        <f t="shared" si="10"/>
        <v>1330</v>
      </c>
      <c r="P80" s="16">
        <f t="shared" si="11"/>
        <v>16900</v>
      </c>
      <c r="Q80" s="18">
        <f t="shared" si="12"/>
        <v>0.6353383459</v>
      </c>
      <c r="R80" s="16">
        <f t="shared" si="13"/>
        <v>6204.038617</v>
      </c>
      <c r="S80" s="18">
        <f t="shared" si="14"/>
        <v>0.2332345345</v>
      </c>
      <c r="T80" s="19"/>
      <c r="U80" s="19"/>
      <c r="V80" s="19"/>
    </row>
    <row r="81">
      <c r="A81" s="13">
        <v>84.0</v>
      </c>
      <c r="B81" s="14" t="s">
        <v>103</v>
      </c>
      <c r="C81" s="15" t="s">
        <v>21</v>
      </c>
      <c r="D81" s="16">
        <v>13500.0</v>
      </c>
      <c r="E81" s="16">
        <v>38200.0</v>
      </c>
      <c r="F81" s="17">
        <f t="shared" si="1"/>
        <v>3151.5</v>
      </c>
      <c r="G81" s="17">
        <f t="shared" si="2"/>
        <v>2101</v>
      </c>
      <c r="H81" s="17">
        <f t="shared" si="3"/>
        <v>1719</v>
      </c>
      <c r="I81" s="17">
        <f t="shared" si="4"/>
        <v>1146</v>
      </c>
      <c r="J81" s="17">
        <f t="shared" si="5"/>
        <v>0</v>
      </c>
      <c r="K81" s="17">
        <f t="shared" si="6"/>
        <v>764</v>
      </c>
      <c r="L81" s="17">
        <f t="shared" si="7"/>
        <v>764</v>
      </c>
      <c r="M81" s="17">
        <f t="shared" si="8"/>
        <v>3056</v>
      </c>
      <c r="N81" s="17">
        <f t="shared" si="9"/>
        <v>748.8655945</v>
      </c>
      <c r="O81" s="17">
        <f t="shared" si="10"/>
        <v>1910</v>
      </c>
      <c r="P81" s="16">
        <f t="shared" si="11"/>
        <v>24700</v>
      </c>
      <c r="Q81" s="18">
        <f t="shared" si="12"/>
        <v>0.6465968586</v>
      </c>
      <c r="R81" s="16">
        <f t="shared" si="13"/>
        <v>9339.634405</v>
      </c>
      <c r="S81" s="18">
        <f t="shared" si="14"/>
        <v>0.2444930473</v>
      </c>
      <c r="T81" s="19"/>
      <c r="U81" s="19"/>
      <c r="V81" s="19"/>
    </row>
    <row r="82">
      <c r="A82" s="13">
        <v>85.0</v>
      </c>
      <c r="B82" s="14" t="s">
        <v>104</v>
      </c>
      <c r="C82" s="15" t="s">
        <v>21</v>
      </c>
      <c r="D82" s="16">
        <v>15500.0</v>
      </c>
      <c r="E82" s="16">
        <v>43800.0</v>
      </c>
      <c r="F82" s="17">
        <f t="shared" si="1"/>
        <v>3613.5</v>
      </c>
      <c r="G82" s="17">
        <f t="shared" si="2"/>
        <v>2409</v>
      </c>
      <c r="H82" s="17">
        <f t="shared" si="3"/>
        <v>1971</v>
      </c>
      <c r="I82" s="17">
        <f t="shared" si="4"/>
        <v>1314</v>
      </c>
      <c r="J82" s="17">
        <f t="shared" si="5"/>
        <v>0</v>
      </c>
      <c r="K82" s="17">
        <f t="shared" si="6"/>
        <v>876</v>
      </c>
      <c r="L82" s="17">
        <f t="shared" si="7"/>
        <v>876</v>
      </c>
      <c r="M82" s="17">
        <f t="shared" si="8"/>
        <v>3504</v>
      </c>
      <c r="N82" s="17">
        <f t="shared" si="9"/>
        <v>858.6469382</v>
      </c>
      <c r="O82" s="17">
        <f t="shared" si="10"/>
        <v>2190</v>
      </c>
      <c r="P82" s="16">
        <f t="shared" si="11"/>
        <v>28300</v>
      </c>
      <c r="Q82" s="18">
        <f t="shared" si="12"/>
        <v>0.6461187215</v>
      </c>
      <c r="R82" s="16">
        <f t="shared" si="13"/>
        <v>10687.85306</v>
      </c>
      <c r="S82" s="18">
        <f t="shared" si="14"/>
        <v>0.2440149101</v>
      </c>
      <c r="T82" s="19"/>
      <c r="U82" s="19"/>
      <c r="V82" s="19"/>
    </row>
    <row r="83">
      <c r="A83" s="13">
        <v>86.0</v>
      </c>
      <c r="B83" s="14" t="s">
        <v>105</v>
      </c>
      <c r="C83" s="15" t="s">
        <v>21</v>
      </c>
      <c r="D83" s="16">
        <v>11000.0</v>
      </c>
      <c r="E83" s="16">
        <v>34800.0</v>
      </c>
      <c r="F83" s="17">
        <f t="shared" si="1"/>
        <v>2871</v>
      </c>
      <c r="G83" s="17">
        <f t="shared" si="2"/>
        <v>1914</v>
      </c>
      <c r="H83" s="17">
        <f t="shared" si="3"/>
        <v>1566</v>
      </c>
      <c r="I83" s="17">
        <f t="shared" si="4"/>
        <v>1044</v>
      </c>
      <c r="J83" s="17">
        <f t="shared" si="5"/>
        <v>0</v>
      </c>
      <c r="K83" s="17">
        <f t="shared" si="6"/>
        <v>696</v>
      </c>
      <c r="L83" s="17">
        <f t="shared" si="7"/>
        <v>696</v>
      </c>
      <c r="M83" s="17">
        <f t="shared" si="8"/>
        <v>2784</v>
      </c>
      <c r="N83" s="17">
        <f t="shared" si="9"/>
        <v>682.2126359</v>
      </c>
      <c r="O83" s="17">
        <f t="shared" si="10"/>
        <v>1740</v>
      </c>
      <c r="P83" s="16">
        <f t="shared" si="11"/>
        <v>23800</v>
      </c>
      <c r="Q83" s="18">
        <f t="shared" si="12"/>
        <v>0.683908046</v>
      </c>
      <c r="R83" s="16">
        <f t="shared" si="13"/>
        <v>9806.787364</v>
      </c>
      <c r="S83" s="18">
        <f t="shared" si="14"/>
        <v>0.2818042346</v>
      </c>
      <c r="T83" s="19"/>
      <c r="U83" s="19"/>
      <c r="V83" s="19"/>
    </row>
    <row r="84">
      <c r="A84" s="13">
        <v>87.0</v>
      </c>
      <c r="B84" s="14" t="s">
        <v>106</v>
      </c>
      <c r="C84" s="15" t="s">
        <v>21</v>
      </c>
      <c r="D84" s="16">
        <v>12000.0</v>
      </c>
      <c r="E84" s="16">
        <v>33900.0</v>
      </c>
      <c r="F84" s="17">
        <f t="shared" si="1"/>
        <v>2796.75</v>
      </c>
      <c r="G84" s="17">
        <f t="shared" si="2"/>
        <v>1864.5</v>
      </c>
      <c r="H84" s="17">
        <f t="shared" si="3"/>
        <v>1525.5</v>
      </c>
      <c r="I84" s="17">
        <f t="shared" si="4"/>
        <v>1017</v>
      </c>
      <c r="J84" s="17">
        <f t="shared" si="5"/>
        <v>0</v>
      </c>
      <c r="K84" s="17">
        <f t="shared" si="6"/>
        <v>678</v>
      </c>
      <c r="L84" s="17">
        <f t="shared" si="7"/>
        <v>678</v>
      </c>
      <c r="M84" s="17">
        <f t="shared" si="8"/>
        <v>2712</v>
      </c>
      <c r="N84" s="17">
        <f t="shared" si="9"/>
        <v>664.5692056</v>
      </c>
      <c r="O84" s="17">
        <f t="shared" si="10"/>
        <v>1695</v>
      </c>
      <c r="P84" s="16">
        <f t="shared" si="11"/>
        <v>21900</v>
      </c>
      <c r="Q84" s="18">
        <f t="shared" si="12"/>
        <v>0.6460176991</v>
      </c>
      <c r="R84" s="16">
        <f t="shared" si="13"/>
        <v>8268.680794</v>
      </c>
      <c r="S84" s="18">
        <f t="shared" si="14"/>
        <v>0.2439138877</v>
      </c>
      <c r="T84" s="19"/>
      <c r="U84" s="19"/>
      <c r="V84" s="19"/>
    </row>
    <row r="85">
      <c r="A85" s="13">
        <v>88.0</v>
      </c>
      <c r="B85" s="14" t="s">
        <v>107</v>
      </c>
      <c r="C85" s="15" t="s">
        <v>21</v>
      </c>
      <c r="D85" s="16">
        <v>12500.0</v>
      </c>
      <c r="E85" s="16">
        <v>35300.0</v>
      </c>
      <c r="F85" s="17">
        <f t="shared" si="1"/>
        <v>2912.25</v>
      </c>
      <c r="G85" s="17">
        <f t="shared" si="2"/>
        <v>1941.5</v>
      </c>
      <c r="H85" s="17">
        <f t="shared" si="3"/>
        <v>1588.5</v>
      </c>
      <c r="I85" s="17">
        <f t="shared" si="4"/>
        <v>1059</v>
      </c>
      <c r="J85" s="17">
        <f t="shared" si="5"/>
        <v>0</v>
      </c>
      <c r="K85" s="17">
        <f t="shared" si="6"/>
        <v>706</v>
      </c>
      <c r="L85" s="17">
        <f t="shared" si="7"/>
        <v>706</v>
      </c>
      <c r="M85" s="17">
        <f t="shared" si="8"/>
        <v>2824</v>
      </c>
      <c r="N85" s="17">
        <f t="shared" si="9"/>
        <v>692.0145415</v>
      </c>
      <c r="O85" s="17">
        <f t="shared" si="10"/>
        <v>1765</v>
      </c>
      <c r="P85" s="16">
        <f t="shared" si="11"/>
        <v>22800</v>
      </c>
      <c r="Q85" s="18">
        <f t="shared" si="12"/>
        <v>0.6458923513</v>
      </c>
      <c r="R85" s="16">
        <f t="shared" si="13"/>
        <v>8605.735458</v>
      </c>
      <c r="S85" s="18">
        <f t="shared" si="14"/>
        <v>0.2437885399</v>
      </c>
      <c r="T85" s="19"/>
      <c r="U85" s="19"/>
      <c r="V85" s="19"/>
    </row>
    <row r="86">
      <c r="A86" s="13">
        <v>89.0</v>
      </c>
      <c r="B86" s="14" t="s">
        <v>108</v>
      </c>
      <c r="C86" s="15" t="s">
        <v>21</v>
      </c>
      <c r="D86" s="16">
        <v>12500.0</v>
      </c>
      <c r="E86" s="16">
        <v>35700.0</v>
      </c>
      <c r="F86" s="17">
        <f t="shared" si="1"/>
        <v>2945.25</v>
      </c>
      <c r="G86" s="17">
        <f t="shared" si="2"/>
        <v>1963.5</v>
      </c>
      <c r="H86" s="17">
        <f t="shared" si="3"/>
        <v>1606.5</v>
      </c>
      <c r="I86" s="17">
        <f t="shared" si="4"/>
        <v>1071</v>
      </c>
      <c r="J86" s="17">
        <f t="shared" si="5"/>
        <v>0</v>
      </c>
      <c r="K86" s="17">
        <f t="shared" si="6"/>
        <v>714</v>
      </c>
      <c r="L86" s="17">
        <f t="shared" si="7"/>
        <v>714</v>
      </c>
      <c r="M86" s="17">
        <f t="shared" si="8"/>
        <v>2856</v>
      </c>
      <c r="N86" s="17">
        <f t="shared" si="9"/>
        <v>699.8560661</v>
      </c>
      <c r="O86" s="17">
        <f t="shared" si="10"/>
        <v>1785</v>
      </c>
      <c r="P86" s="16">
        <f t="shared" si="11"/>
        <v>23200</v>
      </c>
      <c r="Q86" s="18">
        <f t="shared" si="12"/>
        <v>0.649859944</v>
      </c>
      <c r="R86" s="16">
        <f t="shared" si="13"/>
        <v>8844.893934</v>
      </c>
      <c r="S86" s="18">
        <f t="shared" si="14"/>
        <v>0.2477561326</v>
      </c>
      <c r="T86" s="19"/>
      <c r="U86" s="19"/>
      <c r="V86" s="19"/>
    </row>
    <row r="87">
      <c r="A87" s="13">
        <v>90.0</v>
      </c>
      <c r="B87" s="14" t="s">
        <v>109</v>
      </c>
      <c r="C87" s="15" t="s">
        <v>21</v>
      </c>
      <c r="D87" s="16">
        <v>10800.0</v>
      </c>
      <c r="E87" s="16">
        <v>31500.0</v>
      </c>
      <c r="F87" s="17">
        <f t="shared" si="1"/>
        <v>2598.75</v>
      </c>
      <c r="G87" s="17">
        <f t="shared" si="2"/>
        <v>1732.5</v>
      </c>
      <c r="H87" s="17">
        <f t="shared" si="3"/>
        <v>1417.5</v>
      </c>
      <c r="I87" s="17">
        <f t="shared" si="4"/>
        <v>945</v>
      </c>
      <c r="J87" s="17">
        <f t="shared" si="5"/>
        <v>0</v>
      </c>
      <c r="K87" s="17">
        <f t="shared" si="6"/>
        <v>630</v>
      </c>
      <c r="L87" s="17">
        <f t="shared" si="7"/>
        <v>630</v>
      </c>
      <c r="M87" s="17">
        <f t="shared" si="8"/>
        <v>2520</v>
      </c>
      <c r="N87" s="17">
        <f t="shared" si="9"/>
        <v>617.5200583</v>
      </c>
      <c r="O87" s="17">
        <f t="shared" si="10"/>
        <v>1575</v>
      </c>
      <c r="P87" s="16">
        <f t="shared" si="11"/>
        <v>20700</v>
      </c>
      <c r="Q87" s="18">
        <f t="shared" si="12"/>
        <v>0.6571428571</v>
      </c>
      <c r="R87" s="16">
        <f t="shared" si="13"/>
        <v>8033.729942</v>
      </c>
      <c r="S87" s="18">
        <f t="shared" si="14"/>
        <v>0.2550390458</v>
      </c>
      <c r="T87" s="19"/>
      <c r="U87" s="19"/>
      <c r="V87" s="19"/>
    </row>
    <row r="88">
      <c r="A88" s="13">
        <v>91.0</v>
      </c>
      <c r="B88" s="14" t="s">
        <v>110</v>
      </c>
      <c r="C88" s="15" t="s">
        <v>21</v>
      </c>
      <c r="D88" s="16">
        <v>12500.0</v>
      </c>
      <c r="E88" s="16">
        <v>36900.0</v>
      </c>
      <c r="F88" s="17">
        <f t="shared" si="1"/>
        <v>3044.25</v>
      </c>
      <c r="G88" s="17">
        <f t="shared" si="2"/>
        <v>2029.5</v>
      </c>
      <c r="H88" s="17">
        <f t="shared" si="3"/>
        <v>1660.5</v>
      </c>
      <c r="I88" s="17">
        <f t="shared" si="4"/>
        <v>1107</v>
      </c>
      <c r="J88" s="17">
        <f t="shared" si="5"/>
        <v>0</v>
      </c>
      <c r="K88" s="17">
        <f t="shared" si="6"/>
        <v>738</v>
      </c>
      <c r="L88" s="17">
        <f t="shared" si="7"/>
        <v>738</v>
      </c>
      <c r="M88" s="17">
        <f t="shared" si="8"/>
        <v>2952</v>
      </c>
      <c r="N88" s="17">
        <f t="shared" si="9"/>
        <v>723.3806397</v>
      </c>
      <c r="O88" s="17">
        <f t="shared" si="10"/>
        <v>1845</v>
      </c>
      <c r="P88" s="16">
        <f t="shared" si="11"/>
        <v>24400</v>
      </c>
      <c r="Q88" s="18">
        <f t="shared" si="12"/>
        <v>0.6612466125</v>
      </c>
      <c r="R88" s="16">
        <f t="shared" si="13"/>
        <v>9562.36936</v>
      </c>
      <c r="S88" s="18">
        <f t="shared" si="14"/>
        <v>0.2591428011</v>
      </c>
      <c r="T88" s="19"/>
      <c r="U88" s="19"/>
      <c r="V88" s="19"/>
    </row>
    <row r="89">
      <c r="A89" s="13">
        <v>92.0</v>
      </c>
      <c r="B89" s="14" t="s">
        <v>111</v>
      </c>
      <c r="C89" s="15" t="s">
        <v>21</v>
      </c>
      <c r="D89" s="16">
        <v>9100.0</v>
      </c>
      <c r="E89" s="16">
        <v>25700.0</v>
      </c>
      <c r="F89" s="17">
        <f t="shared" si="1"/>
        <v>2120.25</v>
      </c>
      <c r="G89" s="17">
        <f t="shared" si="2"/>
        <v>1413.5</v>
      </c>
      <c r="H89" s="17">
        <f t="shared" si="3"/>
        <v>1156.5</v>
      </c>
      <c r="I89" s="17">
        <f t="shared" si="4"/>
        <v>771</v>
      </c>
      <c r="J89" s="17">
        <f t="shared" si="5"/>
        <v>0</v>
      </c>
      <c r="K89" s="17">
        <f t="shared" si="6"/>
        <v>514</v>
      </c>
      <c r="L89" s="17">
        <f t="shared" si="7"/>
        <v>514</v>
      </c>
      <c r="M89" s="17">
        <f t="shared" si="8"/>
        <v>2056</v>
      </c>
      <c r="N89" s="17">
        <f t="shared" si="9"/>
        <v>503.8179523</v>
      </c>
      <c r="O89" s="17">
        <f t="shared" si="10"/>
        <v>1285</v>
      </c>
      <c r="P89" s="16">
        <f t="shared" si="11"/>
        <v>16600</v>
      </c>
      <c r="Q89" s="18">
        <f t="shared" si="12"/>
        <v>0.6459143969</v>
      </c>
      <c r="R89" s="16">
        <f t="shared" si="13"/>
        <v>6265.932048</v>
      </c>
      <c r="S89" s="18">
        <f t="shared" si="14"/>
        <v>0.2438105855</v>
      </c>
      <c r="T89" s="19"/>
      <c r="U89" s="19"/>
      <c r="V89" s="19"/>
    </row>
    <row r="90">
      <c r="A90" s="13">
        <v>93.0</v>
      </c>
      <c r="B90" s="14" t="s">
        <v>112</v>
      </c>
      <c r="C90" s="15" t="s">
        <v>21</v>
      </c>
      <c r="D90" s="16">
        <v>9000.0</v>
      </c>
      <c r="E90" s="16">
        <v>27100.0</v>
      </c>
      <c r="F90" s="17">
        <f t="shared" si="1"/>
        <v>2235.75</v>
      </c>
      <c r="G90" s="17">
        <f t="shared" si="2"/>
        <v>1490.5</v>
      </c>
      <c r="H90" s="17">
        <f t="shared" si="3"/>
        <v>1219.5</v>
      </c>
      <c r="I90" s="17">
        <f t="shared" si="4"/>
        <v>813</v>
      </c>
      <c r="J90" s="17">
        <f t="shared" si="5"/>
        <v>0</v>
      </c>
      <c r="K90" s="17">
        <f t="shared" si="6"/>
        <v>542</v>
      </c>
      <c r="L90" s="17">
        <f t="shared" si="7"/>
        <v>542</v>
      </c>
      <c r="M90" s="17">
        <f t="shared" si="8"/>
        <v>2168</v>
      </c>
      <c r="N90" s="17">
        <f t="shared" si="9"/>
        <v>531.2632883</v>
      </c>
      <c r="O90" s="17">
        <f t="shared" si="10"/>
        <v>1355</v>
      </c>
      <c r="P90" s="16">
        <f t="shared" si="11"/>
        <v>18100</v>
      </c>
      <c r="Q90" s="18">
        <f t="shared" si="12"/>
        <v>0.667896679</v>
      </c>
      <c r="R90" s="16">
        <f t="shared" si="13"/>
        <v>7202.986712</v>
      </c>
      <c r="S90" s="18">
        <f t="shared" si="14"/>
        <v>0.2657928676</v>
      </c>
      <c r="T90" s="19"/>
      <c r="U90" s="19"/>
      <c r="V90" s="19"/>
    </row>
    <row r="91">
      <c r="A91" s="13">
        <v>94.0</v>
      </c>
      <c r="B91" s="14" t="s">
        <v>113</v>
      </c>
      <c r="C91" s="15" t="s">
        <v>21</v>
      </c>
      <c r="D91" s="16">
        <v>11000.0</v>
      </c>
      <c r="E91" s="16">
        <v>33000.0</v>
      </c>
      <c r="F91" s="17">
        <f t="shared" si="1"/>
        <v>2722.5</v>
      </c>
      <c r="G91" s="17">
        <f t="shared" si="2"/>
        <v>1815</v>
      </c>
      <c r="H91" s="17">
        <f t="shared" si="3"/>
        <v>1485</v>
      </c>
      <c r="I91" s="17">
        <f t="shared" si="4"/>
        <v>990</v>
      </c>
      <c r="J91" s="17">
        <f t="shared" si="5"/>
        <v>0</v>
      </c>
      <c r="K91" s="17">
        <f t="shared" si="6"/>
        <v>660</v>
      </c>
      <c r="L91" s="17">
        <f t="shared" si="7"/>
        <v>660</v>
      </c>
      <c r="M91" s="17">
        <f t="shared" si="8"/>
        <v>2640</v>
      </c>
      <c r="N91" s="17">
        <f t="shared" si="9"/>
        <v>646.9257754</v>
      </c>
      <c r="O91" s="17">
        <f t="shared" si="10"/>
        <v>1650</v>
      </c>
      <c r="P91" s="16">
        <f t="shared" si="11"/>
        <v>22000</v>
      </c>
      <c r="Q91" s="18">
        <f t="shared" si="12"/>
        <v>0.6666666667</v>
      </c>
      <c r="R91" s="16">
        <f t="shared" si="13"/>
        <v>8730.574225</v>
      </c>
      <c r="S91" s="18">
        <f t="shared" si="14"/>
        <v>0.2645628553</v>
      </c>
      <c r="T91" s="19"/>
      <c r="U91" s="19"/>
      <c r="V91" s="19"/>
    </row>
    <row r="92">
      <c r="A92" s="13">
        <v>95.0</v>
      </c>
      <c r="B92" s="14" t="s">
        <v>114</v>
      </c>
      <c r="C92" s="15" t="s">
        <v>21</v>
      </c>
      <c r="D92" s="16">
        <v>18000.0</v>
      </c>
      <c r="E92" s="16">
        <v>52000.0</v>
      </c>
      <c r="F92" s="17">
        <f t="shared" si="1"/>
        <v>4290</v>
      </c>
      <c r="G92" s="17">
        <f t="shared" si="2"/>
        <v>2860</v>
      </c>
      <c r="H92" s="17">
        <f t="shared" si="3"/>
        <v>2340</v>
      </c>
      <c r="I92" s="17">
        <f t="shared" si="4"/>
        <v>1560</v>
      </c>
      <c r="J92" s="17">
        <f t="shared" si="5"/>
        <v>0</v>
      </c>
      <c r="K92" s="17">
        <f t="shared" si="6"/>
        <v>1040</v>
      </c>
      <c r="L92" s="17">
        <f t="shared" si="7"/>
        <v>1040</v>
      </c>
      <c r="M92" s="17">
        <f t="shared" si="8"/>
        <v>4160</v>
      </c>
      <c r="N92" s="17">
        <f t="shared" si="9"/>
        <v>1019.398192</v>
      </c>
      <c r="O92" s="17">
        <f t="shared" si="10"/>
        <v>2600</v>
      </c>
      <c r="P92" s="16">
        <f t="shared" si="11"/>
        <v>34000</v>
      </c>
      <c r="Q92" s="18">
        <f t="shared" si="12"/>
        <v>0.6538461538</v>
      </c>
      <c r="R92" s="16">
        <f t="shared" si="13"/>
        <v>13090.60181</v>
      </c>
      <c r="S92" s="18">
        <f t="shared" si="14"/>
        <v>0.2517423425</v>
      </c>
      <c r="T92" s="19"/>
      <c r="U92" s="19"/>
      <c r="V92" s="19"/>
    </row>
    <row r="93">
      <c r="A93" s="13">
        <v>96.0</v>
      </c>
      <c r="B93" s="25" t="s">
        <v>115</v>
      </c>
      <c r="C93" s="15" t="s">
        <v>21</v>
      </c>
      <c r="D93" s="16">
        <v>20200.0</v>
      </c>
      <c r="E93" s="16">
        <v>52000.0</v>
      </c>
      <c r="F93" s="17">
        <f t="shared" si="1"/>
        <v>4290</v>
      </c>
      <c r="G93" s="17">
        <f t="shared" si="2"/>
        <v>2860</v>
      </c>
      <c r="H93" s="17">
        <f t="shared" si="3"/>
        <v>2340</v>
      </c>
      <c r="I93" s="17">
        <f t="shared" si="4"/>
        <v>1560</v>
      </c>
      <c r="J93" s="17">
        <f t="shared" si="5"/>
        <v>0</v>
      </c>
      <c r="K93" s="17">
        <f t="shared" si="6"/>
        <v>1040</v>
      </c>
      <c r="L93" s="17">
        <f t="shared" si="7"/>
        <v>1040</v>
      </c>
      <c r="M93" s="17">
        <f t="shared" si="8"/>
        <v>4160</v>
      </c>
      <c r="N93" s="17">
        <f t="shared" si="9"/>
        <v>1019.398192</v>
      </c>
      <c r="O93" s="17">
        <f t="shared" si="10"/>
        <v>2600</v>
      </c>
      <c r="P93" s="16">
        <f t="shared" si="11"/>
        <v>31800</v>
      </c>
      <c r="Q93" s="18">
        <f t="shared" si="12"/>
        <v>0.6115384615</v>
      </c>
      <c r="R93" s="16">
        <f t="shared" si="13"/>
        <v>10890.60181</v>
      </c>
      <c r="S93" s="18">
        <f t="shared" si="14"/>
        <v>0.2094346502</v>
      </c>
      <c r="T93" s="19"/>
      <c r="U93" s="19"/>
      <c r="V93" s="19"/>
    </row>
  </sheetData>
  <mergeCells count="8">
    <mergeCell ref="A1:A2"/>
    <mergeCell ref="B1:B2"/>
    <mergeCell ref="C1:C2"/>
    <mergeCell ref="D1:D2"/>
    <mergeCell ref="E1:E2"/>
    <mergeCell ref="P1:Q1"/>
    <mergeCell ref="R1:S1"/>
    <mergeCell ref="T1:T2"/>
  </mergeCells>
  <dataValidations>
    <dataValidation type="list" allowBlank="1" showErrorMessage="1" sqref="T3:T93">
      <formula1>"ACC,REJECT"</formula1>
    </dataValidation>
    <dataValidation type="list" allowBlank="1" showErrorMessage="1" sqref="C3:C93">
      <formula1>"hjb,mkn,dress/bls,inner,Acs"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57"/>
    <col customWidth="1" min="3" max="3" width="18.71"/>
    <col customWidth="1" min="4" max="4" width="31.0"/>
    <col customWidth="1" min="5" max="5" width="60.14"/>
    <col customWidth="1" min="6" max="6" width="18.43"/>
    <col customWidth="1" min="7" max="26" width="8.71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6"/>
      <c r="B3" s="27" t="s">
        <v>116</v>
      </c>
      <c r="C3" s="27" t="s">
        <v>117</v>
      </c>
      <c r="D3" s="27" t="s">
        <v>118</v>
      </c>
      <c r="E3" s="27" t="s">
        <v>119</v>
      </c>
      <c r="F3" s="27" t="s">
        <v>120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/>
      <c r="B4" s="28" t="s">
        <v>121</v>
      </c>
      <c r="C4" s="28" t="s">
        <v>122</v>
      </c>
      <c r="D4" s="26" t="s">
        <v>123</v>
      </c>
      <c r="E4" s="26" t="s">
        <v>124</v>
      </c>
      <c r="F4" s="26" t="s">
        <v>125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6"/>
      <c r="D5" s="26" t="s">
        <v>126</v>
      </c>
      <c r="E5" s="26" t="s">
        <v>127</v>
      </c>
      <c r="F5" s="26" t="s">
        <v>125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/>
      <c r="C6" s="26" t="s">
        <v>128</v>
      </c>
      <c r="D6" s="26" t="s">
        <v>129</v>
      </c>
      <c r="E6" s="26" t="s">
        <v>130</v>
      </c>
      <c r="F6" s="26" t="s">
        <v>131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/>
      <c r="C7" s="26" t="s">
        <v>132</v>
      </c>
      <c r="D7" s="26" t="s">
        <v>133</v>
      </c>
      <c r="E7" s="26" t="s">
        <v>134</v>
      </c>
      <c r="F7" s="26" t="s">
        <v>135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C8" s="26" t="s">
        <v>136</v>
      </c>
      <c r="D8" s="26" t="s">
        <v>137</v>
      </c>
      <c r="E8" s="26" t="s">
        <v>138</v>
      </c>
      <c r="F8" s="26" t="s">
        <v>135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8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8" t="s">
        <v>139</v>
      </c>
      <c r="C10" s="28" t="s">
        <v>122</v>
      </c>
      <c r="D10" s="26" t="s">
        <v>123</v>
      </c>
      <c r="E10" s="26" t="s">
        <v>124</v>
      </c>
      <c r="F10" s="26" t="s">
        <v>125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D11" s="26" t="s">
        <v>126</v>
      </c>
      <c r="E11" s="26" t="s">
        <v>127</v>
      </c>
      <c r="F11" s="26" t="s">
        <v>125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C12" s="26" t="s">
        <v>128</v>
      </c>
      <c r="D12" s="26" t="s">
        <v>129</v>
      </c>
      <c r="E12" s="26" t="s">
        <v>130</v>
      </c>
      <c r="F12" s="26" t="s">
        <v>131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C13" s="26" t="s">
        <v>132</v>
      </c>
      <c r="D13" s="26" t="s">
        <v>133</v>
      </c>
      <c r="E13" s="26" t="s">
        <v>134</v>
      </c>
      <c r="F13" s="26" t="s">
        <v>135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C14" s="26" t="s">
        <v>136</v>
      </c>
      <c r="D14" s="26" t="s">
        <v>137</v>
      </c>
      <c r="E14" s="26" t="s">
        <v>138</v>
      </c>
      <c r="F14" s="26" t="s">
        <v>135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8" t="s">
        <v>140</v>
      </c>
      <c r="C16" s="28" t="s">
        <v>122</v>
      </c>
      <c r="D16" s="26" t="s">
        <v>123</v>
      </c>
      <c r="E16" s="26" t="s">
        <v>124</v>
      </c>
      <c r="F16" s="26" t="s">
        <v>125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D17" s="26" t="s">
        <v>126</v>
      </c>
      <c r="E17" s="26" t="s">
        <v>127</v>
      </c>
      <c r="F17" s="26" t="s">
        <v>125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C18" s="26" t="s">
        <v>128</v>
      </c>
      <c r="D18" s="26" t="s">
        <v>129</v>
      </c>
      <c r="E18" s="26" t="s">
        <v>130</v>
      </c>
      <c r="F18" s="26" t="s">
        <v>131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C19" s="26" t="s">
        <v>132</v>
      </c>
      <c r="D19" s="26" t="s">
        <v>133</v>
      </c>
      <c r="E19" s="26" t="s">
        <v>134</v>
      </c>
      <c r="F19" s="26" t="s">
        <v>135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C20" s="26" t="s">
        <v>136</v>
      </c>
      <c r="D20" s="26" t="s">
        <v>137</v>
      </c>
      <c r="E20" s="26" t="s">
        <v>138</v>
      </c>
      <c r="F20" s="26" t="s">
        <v>135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28" t="s">
        <v>141</v>
      </c>
      <c r="C22" s="28" t="s">
        <v>122</v>
      </c>
      <c r="D22" s="26" t="s">
        <v>123</v>
      </c>
      <c r="E22" s="26" t="s">
        <v>124</v>
      </c>
      <c r="F22" s="26" t="s">
        <v>125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D23" s="26" t="s">
        <v>126</v>
      </c>
      <c r="E23" s="26" t="s">
        <v>127</v>
      </c>
      <c r="F23" s="26" t="s">
        <v>125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C24" s="26" t="s">
        <v>128</v>
      </c>
      <c r="D24" s="26" t="s">
        <v>129</v>
      </c>
      <c r="E24" s="26" t="s">
        <v>130</v>
      </c>
      <c r="F24" s="26" t="s">
        <v>131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C25" s="26" t="s">
        <v>132</v>
      </c>
      <c r="D25" s="26" t="s">
        <v>133</v>
      </c>
      <c r="E25" s="26" t="s">
        <v>134</v>
      </c>
      <c r="F25" s="26" t="s">
        <v>135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C26" s="26" t="s">
        <v>136</v>
      </c>
      <c r="D26" s="26" t="s">
        <v>137</v>
      </c>
      <c r="E26" s="26" t="s">
        <v>138</v>
      </c>
      <c r="F26" s="26" t="s">
        <v>135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8">
    <mergeCell ref="B4:B8"/>
    <mergeCell ref="C4:C5"/>
    <mergeCell ref="B10:B14"/>
    <mergeCell ref="C10:C11"/>
    <mergeCell ref="B16:B20"/>
    <mergeCell ref="C16:C17"/>
    <mergeCell ref="B22:B26"/>
    <mergeCell ref="C22:C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71"/>
    <col customWidth="1" min="3" max="3" width="28.71"/>
    <col customWidth="1" min="4" max="26" width="8.71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30" t="s">
        <v>142</v>
      </c>
      <c r="C3" s="30" t="s">
        <v>143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/>
      <c r="B4" s="31" t="s">
        <v>144</v>
      </c>
      <c r="C4" s="31" t="s">
        <v>145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31" t="s">
        <v>146</v>
      </c>
      <c r="C5" s="31" t="s">
        <v>121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31" t="s">
        <v>147</v>
      </c>
      <c r="C6" s="31" t="s">
        <v>145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31" t="s">
        <v>148</v>
      </c>
      <c r="C7" s="31" t="s">
        <v>140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31" t="s">
        <v>149</v>
      </c>
      <c r="C8" s="31" t="s">
        <v>145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31" t="s">
        <v>150</v>
      </c>
      <c r="C9" s="31" t="s">
        <v>140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1" t="s">
        <v>151</v>
      </c>
      <c r="C10" s="31" t="s">
        <v>145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 t="s">
        <v>152</v>
      </c>
      <c r="C11" s="31" t="s">
        <v>140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31" t="s">
        <v>153</v>
      </c>
      <c r="C12" s="31" t="s">
        <v>139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31" t="s">
        <v>154</v>
      </c>
      <c r="C13" s="31" t="s">
        <v>145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31" t="s">
        <v>155</v>
      </c>
      <c r="C14" s="31" t="s">
        <v>141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1.71"/>
  </cols>
  <sheetData>
    <row r="1">
      <c r="A1" s="32" t="s">
        <v>156</v>
      </c>
    </row>
    <row r="3">
      <c r="A3" s="32" t="s">
        <v>157</v>
      </c>
    </row>
    <row r="4">
      <c r="A4" s="32" t="s">
        <v>158</v>
      </c>
    </row>
    <row r="5">
      <c r="A5" s="32" t="s">
        <v>159</v>
      </c>
    </row>
    <row r="6">
      <c r="A6" s="32" t="s">
        <v>160</v>
      </c>
    </row>
    <row r="7">
      <c r="A7" s="32" t="s">
        <v>161</v>
      </c>
    </row>
    <row r="8">
      <c r="A8" s="32" t="s">
        <v>162</v>
      </c>
    </row>
    <row r="9">
      <c r="A9" s="32" t="s">
        <v>163</v>
      </c>
    </row>
    <row r="10">
      <c r="A10" s="32" t="s">
        <v>164</v>
      </c>
    </row>
    <row r="11">
      <c r="A11" s="32" t="s">
        <v>165</v>
      </c>
    </row>
    <row r="12">
      <c r="A12" s="32" t="s">
        <v>166</v>
      </c>
    </row>
    <row r="13">
      <c r="A13" s="32" t="s">
        <v>167</v>
      </c>
    </row>
    <row r="14">
      <c r="A14" s="32" t="s">
        <v>168</v>
      </c>
    </row>
    <row r="15">
      <c r="A15" s="32" t="s">
        <v>169</v>
      </c>
    </row>
    <row r="16">
      <c r="A16" s="32" t="s">
        <v>170</v>
      </c>
    </row>
    <row r="17">
      <c r="A17" s="32" t="s">
        <v>171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0"/>
    <col customWidth="1" min="5" max="5" width="18.43"/>
    <col customWidth="1" min="6" max="6" width="24.14"/>
    <col customWidth="1" min="7" max="7" width="17.71"/>
    <col customWidth="1" min="8" max="8" width="24.14"/>
  </cols>
  <sheetData>
    <row r="1" ht="24.0" customHeight="1">
      <c r="A1" s="33" t="s">
        <v>121</v>
      </c>
      <c r="B1" s="33" t="s">
        <v>172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24.0" customHeight="1">
      <c r="B3" s="35" t="s">
        <v>173</v>
      </c>
      <c r="C3" s="36" t="s">
        <v>116</v>
      </c>
      <c r="D3" s="37" t="s">
        <v>174</v>
      </c>
      <c r="E3" s="37" t="s">
        <v>175</v>
      </c>
      <c r="F3" s="37" t="s">
        <v>176</v>
      </c>
      <c r="G3" s="36" t="s">
        <v>177</v>
      </c>
      <c r="H3" s="36" t="s">
        <v>178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24.0" customHeight="1">
      <c r="B4" s="38" t="s">
        <v>179</v>
      </c>
      <c r="C4" s="39">
        <v>3.3</v>
      </c>
      <c r="D4" s="40">
        <v>4.4418220234E10</v>
      </c>
      <c r="E4" s="41" t="s">
        <v>180</v>
      </c>
      <c r="F4" s="41" t="s">
        <v>181</v>
      </c>
      <c r="G4" s="42" t="s">
        <v>182</v>
      </c>
      <c r="H4" s="42" t="s">
        <v>183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24.0" customHeight="1">
      <c r="B5" s="38" t="s">
        <v>179</v>
      </c>
      <c r="C5" s="39">
        <v>3.3</v>
      </c>
      <c r="D5" s="43">
        <v>2.6063549679E10</v>
      </c>
      <c r="E5" s="38" t="s">
        <v>184</v>
      </c>
      <c r="F5" s="38" t="s">
        <v>181</v>
      </c>
      <c r="G5" s="44" t="s">
        <v>182</v>
      </c>
      <c r="H5" s="44" t="s">
        <v>183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24.0" customHeight="1">
      <c r="B6" s="38" t="s">
        <v>179</v>
      </c>
      <c r="C6" s="39">
        <v>3.3</v>
      </c>
      <c r="D6" s="45">
        <v>2.6959293958E10</v>
      </c>
      <c r="E6" s="38" t="s">
        <v>185</v>
      </c>
      <c r="F6" s="38" t="s">
        <v>181</v>
      </c>
      <c r="G6" s="44" t="s">
        <v>182</v>
      </c>
      <c r="H6" s="44" t="s">
        <v>183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24.0" customHeight="1">
      <c r="B7" s="38" t="s">
        <v>179</v>
      </c>
      <c r="C7" s="39">
        <v>3.3</v>
      </c>
      <c r="D7" s="43">
        <v>1.9284944147E10</v>
      </c>
      <c r="E7" s="38" t="s">
        <v>186</v>
      </c>
      <c r="F7" s="38" t="s">
        <v>181</v>
      </c>
      <c r="G7" s="44" t="s">
        <v>182</v>
      </c>
      <c r="H7" s="44" t="s">
        <v>183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24.0" customHeight="1">
      <c r="B8" s="38" t="s">
        <v>179</v>
      </c>
      <c r="C8" s="39">
        <v>3.3</v>
      </c>
      <c r="D8" s="45">
        <v>2.3182521393E10</v>
      </c>
      <c r="E8" s="38" t="s">
        <v>186</v>
      </c>
      <c r="F8" s="38" t="s">
        <v>181</v>
      </c>
      <c r="G8" s="44" t="s">
        <v>182</v>
      </c>
      <c r="H8" s="44" t="s">
        <v>183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4.0" customHeight="1">
      <c r="B9" s="38" t="s">
        <v>179</v>
      </c>
      <c r="C9" s="39">
        <v>3.3</v>
      </c>
      <c r="D9" s="43">
        <v>2.4358345461E10</v>
      </c>
      <c r="E9" s="38" t="s">
        <v>187</v>
      </c>
      <c r="F9" s="38" t="s">
        <v>181</v>
      </c>
      <c r="G9" s="44" t="s">
        <v>182</v>
      </c>
      <c r="H9" s="44" t="s">
        <v>183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24.0" customHeight="1">
      <c r="B10" s="38" t="s">
        <v>179</v>
      </c>
      <c r="C10" s="39">
        <v>3.3</v>
      </c>
      <c r="D10" s="45">
        <v>4.2215282779E10</v>
      </c>
      <c r="E10" s="38" t="s">
        <v>180</v>
      </c>
      <c r="F10" s="38" t="s">
        <v>181</v>
      </c>
      <c r="G10" s="44" t="s">
        <v>182</v>
      </c>
      <c r="H10" s="44" t="s">
        <v>183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24.0" customHeight="1">
      <c r="B11" s="38" t="s">
        <v>179</v>
      </c>
      <c r="C11" s="39">
        <v>3.3</v>
      </c>
      <c r="D11" s="46">
        <v>2.6734578951E10</v>
      </c>
      <c r="E11" s="47" t="s">
        <v>188</v>
      </c>
      <c r="F11" s="47" t="s">
        <v>189</v>
      </c>
      <c r="G11" s="38" t="s">
        <v>190</v>
      </c>
      <c r="H11" s="38" t="s">
        <v>191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24.0" customHeight="1">
      <c r="B12" s="38" t="s">
        <v>179</v>
      </c>
      <c r="C12" s="39">
        <v>3.3</v>
      </c>
      <c r="D12" s="40">
        <v>4.6402037636E10</v>
      </c>
      <c r="E12" s="48" t="s">
        <v>180</v>
      </c>
      <c r="F12" s="48" t="s">
        <v>189</v>
      </c>
      <c r="G12" s="38" t="s">
        <v>190</v>
      </c>
      <c r="H12" s="38" t="s">
        <v>191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24.0" customHeight="1">
      <c r="B13" s="38" t="s">
        <v>179</v>
      </c>
      <c r="C13" s="39">
        <v>3.3</v>
      </c>
      <c r="D13" s="46">
        <v>2.6922599401E10</v>
      </c>
      <c r="E13" s="47" t="s">
        <v>192</v>
      </c>
      <c r="F13" s="47" t="s">
        <v>189</v>
      </c>
      <c r="G13" s="38" t="s">
        <v>190</v>
      </c>
      <c r="H13" s="38" t="s">
        <v>191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24.0" customHeight="1">
      <c r="B14" s="38" t="s">
        <v>179</v>
      </c>
      <c r="C14" s="39">
        <v>3.3</v>
      </c>
      <c r="D14" s="40">
        <v>4.1775252808E10</v>
      </c>
      <c r="E14" s="48" t="s">
        <v>193</v>
      </c>
      <c r="F14" s="48" t="s">
        <v>189</v>
      </c>
      <c r="G14" s="38" t="s">
        <v>190</v>
      </c>
      <c r="H14" s="38" t="s">
        <v>191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24.0" customHeight="1">
      <c r="B15" s="38" t="s">
        <v>179</v>
      </c>
      <c r="C15" s="39">
        <v>3.3</v>
      </c>
      <c r="D15" s="46">
        <v>5.4450554943E10</v>
      </c>
      <c r="E15" s="47" t="s">
        <v>185</v>
      </c>
      <c r="F15" s="47" t="s">
        <v>189</v>
      </c>
      <c r="G15" s="38" t="s">
        <v>190</v>
      </c>
      <c r="H15" s="38" t="s">
        <v>191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24.0" customHeight="1">
      <c r="B16" s="38" t="s">
        <v>179</v>
      </c>
      <c r="C16" s="39">
        <v>3.3</v>
      </c>
      <c r="D16" s="40">
        <v>2.4454474569E10</v>
      </c>
      <c r="E16" s="48" t="s">
        <v>188</v>
      </c>
      <c r="F16" s="48" t="s">
        <v>189</v>
      </c>
      <c r="G16" s="38" t="s">
        <v>190</v>
      </c>
      <c r="H16" s="38" t="s">
        <v>191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24.0" customHeight="1">
      <c r="B17" s="38" t="s">
        <v>179</v>
      </c>
      <c r="C17" s="39">
        <v>3.3</v>
      </c>
      <c r="D17" s="46">
        <v>1.7896289091E10</v>
      </c>
      <c r="E17" s="47" t="s">
        <v>186</v>
      </c>
      <c r="F17" s="47" t="s">
        <v>189</v>
      </c>
      <c r="G17" s="38" t="s">
        <v>190</v>
      </c>
      <c r="H17" s="38" t="s">
        <v>191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24.0" customHeight="1">
      <c r="B18" s="38" t="s">
        <v>179</v>
      </c>
      <c r="C18" s="39">
        <v>3.3</v>
      </c>
      <c r="D18" s="40">
        <v>4.0452701534E10</v>
      </c>
      <c r="E18" s="48" t="s">
        <v>188</v>
      </c>
      <c r="F18" s="48" t="s">
        <v>189</v>
      </c>
      <c r="G18" s="38" t="s">
        <v>190</v>
      </c>
      <c r="H18" s="38" t="s">
        <v>191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24.0" customHeight="1">
      <c r="B19" s="38" t="s">
        <v>179</v>
      </c>
      <c r="C19" s="39">
        <v>3.3</v>
      </c>
      <c r="D19" s="46">
        <v>2.8205232844E10</v>
      </c>
      <c r="E19" s="47" t="s">
        <v>194</v>
      </c>
      <c r="F19" s="47" t="s">
        <v>189</v>
      </c>
      <c r="G19" s="38" t="s">
        <v>190</v>
      </c>
      <c r="H19" s="38" t="s">
        <v>191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24.0" customHeight="1">
      <c r="B20" s="38" t="s">
        <v>179</v>
      </c>
      <c r="C20" s="39">
        <v>3.3</v>
      </c>
      <c r="D20" s="40">
        <v>5.1553812946E10</v>
      </c>
      <c r="E20" s="48" t="s">
        <v>180</v>
      </c>
      <c r="F20" s="48" t="s">
        <v>189</v>
      </c>
      <c r="G20" s="38" t="s">
        <v>190</v>
      </c>
      <c r="H20" s="38" t="s">
        <v>191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24.0" customHeight="1">
      <c r="B21" s="38" t="s">
        <v>179</v>
      </c>
      <c r="C21" s="39">
        <v>3.3</v>
      </c>
      <c r="D21" s="46">
        <v>2.9775927096E10</v>
      </c>
      <c r="E21" s="47" t="s">
        <v>195</v>
      </c>
      <c r="F21" s="47" t="s">
        <v>189</v>
      </c>
      <c r="G21" s="38" t="s">
        <v>190</v>
      </c>
      <c r="H21" s="38" t="s">
        <v>191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24.0" customHeight="1">
      <c r="B22" s="38" t="s">
        <v>179</v>
      </c>
      <c r="C22" s="39">
        <v>3.3</v>
      </c>
      <c r="D22" s="40">
        <v>2.478718965E10</v>
      </c>
      <c r="E22" s="48" t="s">
        <v>196</v>
      </c>
      <c r="F22" s="48" t="s">
        <v>189</v>
      </c>
      <c r="G22" s="38" t="s">
        <v>190</v>
      </c>
      <c r="H22" s="38" t="s">
        <v>191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24.0" customHeight="1">
      <c r="B23" s="38" t="s">
        <v>179</v>
      </c>
      <c r="C23" s="39">
        <v>3.3</v>
      </c>
      <c r="D23" s="46">
        <v>2.7329181332E10</v>
      </c>
      <c r="E23" s="47" t="s">
        <v>197</v>
      </c>
      <c r="F23" s="47" t="s">
        <v>189</v>
      </c>
      <c r="G23" s="38" t="s">
        <v>190</v>
      </c>
      <c r="H23" s="38" t="s">
        <v>191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24.0" customHeight="1">
      <c r="B24" s="38" t="s">
        <v>179</v>
      </c>
      <c r="C24" s="39">
        <v>3.3</v>
      </c>
      <c r="D24" s="40">
        <v>2.3288067468E10</v>
      </c>
      <c r="E24" s="48" t="s">
        <v>187</v>
      </c>
      <c r="F24" s="48" t="s">
        <v>189</v>
      </c>
      <c r="G24" s="38" t="s">
        <v>190</v>
      </c>
      <c r="H24" s="38" t="s">
        <v>191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24.0" customHeight="1">
      <c r="B25" s="38" t="s">
        <v>179</v>
      </c>
      <c r="C25" s="39">
        <v>3.3</v>
      </c>
      <c r="D25" s="46">
        <v>2.8956444541E10</v>
      </c>
      <c r="E25" s="47" t="s">
        <v>198</v>
      </c>
      <c r="F25" s="47" t="s">
        <v>189</v>
      </c>
      <c r="G25" s="38" t="s">
        <v>190</v>
      </c>
      <c r="H25" s="38" t="s">
        <v>191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>
      <c r="B26" s="34"/>
      <c r="C26" s="34"/>
      <c r="D26" s="34"/>
      <c r="E26" s="34"/>
      <c r="F26" s="49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>
      <c r="B27" s="34"/>
      <c r="C27" s="34"/>
      <c r="D27" s="34"/>
      <c r="E27" s="34"/>
      <c r="F27" s="49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</sheetData>
  <autoFilter ref="$B$3:$H$25"/>
  <dataValidations>
    <dataValidation type="list" allowBlank="1" showErrorMessage="1" sqref="C4:C25">
      <formula1>"1.1,2.2,3.3,4.4,5.5,6.6,7.7,8.8,9.9,10.10,11.11,12.12"</formula1>
    </dataValidation>
    <dataValidation type="list" allowBlank="1" showErrorMessage="1" sqref="H4:H25">
      <formula1>"FAST MOVING,MODERATE,SLOW MOVING"</formula1>
    </dataValidation>
    <dataValidation type="list" allowBlank="1" showErrorMessage="1" sqref="G4:G25">
      <formula1>"FREE GIFT,BBLH,FLASH SALE"</formula1>
    </dataValidation>
    <dataValidation type="list" allowBlank="1" showErrorMessage="1" sqref="B4:B25">
      <formula1>"JANUARI,FEBRUARI,MARET,APRIL,MEI,JUNI,JULI,AGUSTUS,SEPTEMBER,OKTOBER,NOVEMBER,DESEMBER"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29"/>
    <col customWidth="1" min="5" max="5" width="18.43"/>
    <col customWidth="1" min="6" max="6" width="18.29"/>
    <col customWidth="1" min="8" max="8" width="23.86"/>
  </cols>
  <sheetData>
    <row r="1" ht="24.0" customHeight="1">
      <c r="A1" s="33" t="s">
        <v>140</v>
      </c>
      <c r="B1" s="33" t="s">
        <v>172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3" ht="24.0" customHeight="1">
      <c r="B3" s="35" t="s">
        <v>173</v>
      </c>
      <c r="C3" s="36" t="s">
        <v>116</v>
      </c>
      <c r="D3" s="37" t="s">
        <v>174</v>
      </c>
      <c r="E3" s="37" t="s">
        <v>175</v>
      </c>
      <c r="F3" s="37" t="s">
        <v>176</v>
      </c>
      <c r="G3" s="36" t="s">
        <v>177</v>
      </c>
      <c r="H3" s="36" t="s">
        <v>178</v>
      </c>
    </row>
    <row r="4" ht="24.0" customHeight="1">
      <c r="B4" s="38" t="s">
        <v>179</v>
      </c>
      <c r="C4" s="39" t="s">
        <v>199</v>
      </c>
      <c r="D4" s="40">
        <v>4.4418220234E10</v>
      </c>
      <c r="E4" s="41" t="s">
        <v>180</v>
      </c>
      <c r="F4" s="41" t="s">
        <v>181</v>
      </c>
      <c r="G4" s="42" t="s">
        <v>182</v>
      </c>
      <c r="H4" s="42" t="s">
        <v>183</v>
      </c>
    </row>
    <row r="5" ht="24.0" customHeight="1">
      <c r="B5" s="38" t="s">
        <v>179</v>
      </c>
      <c r="C5" s="39" t="s">
        <v>199</v>
      </c>
      <c r="D5" s="43">
        <v>2.6063549679E10</v>
      </c>
      <c r="E5" s="38" t="s">
        <v>184</v>
      </c>
      <c r="F5" s="38" t="s">
        <v>181</v>
      </c>
      <c r="G5" s="44" t="s">
        <v>182</v>
      </c>
      <c r="H5" s="44" t="s">
        <v>183</v>
      </c>
    </row>
    <row r="6" ht="24.0" customHeight="1">
      <c r="B6" s="38" t="s">
        <v>179</v>
      </c>
      <c r="C6" s="39" t="s">
        <v>199</v>
      </c>
      <c r="D6" s="45">
        <v>2.6959293958E10</v>
      </c>
      <c r="E6" s="38" t="s">
        <v>185</v>
      </c>
      <c r="F6" s="38" t="s">
        <v>181</v>
      </c>
      <c r="G6" s="44" t="s">
        <v>182</v>
      </c>
      <c r="H6" s="44" t="s">
        <v>183</v>
      </c>
    </row>
    <row r="7" ht="24.0" customHeight="1">
      <c r="B7" s="38" t="s">
        <v>179</v>
      </c>
      <c r="C7" s="39" t="s">
        <v>199</v>
      </c>
      <c r="D7" s="43">
        <v>1.9284944147E10</v>
      </c>
      <c r="E7" s="38" t="s">
        <v>186</v>
      </c>
      <c r="F7" s="38" t="s">
        <v>181</v>
      </c>
      <c r="G7" s="44" t="s">
        <v>182</v>
      </c>
      <c r="H7" s="44" t="s">
        <v>183</v>
      </c>
    </row>
    <row r="8" ht="24.0" customHeight="1">
      <c r="B8" s="38" t="s">
        <v>179</v>
      </c>
      <c r="C8" s="39" t="s">
        <v>199</v>
      </c>
      <c r="D8" s="45">
        <v>2.3182521393E10</v>
      </c>
      <c r="E8" s="38" t="s">
        <v>186</v>
      </c>
      <c r="F8" s="38" t="s">
        <v>181</v>
      </c>
      <c r="G8" s="44" t="s">
        <v>182</v>
      </c>
      <c r="H8" s="44" t="s">
        <v>183</v>
      </c>
    </row>
    <row r="9" ht="24.0" customHeight="1">
      <c r="B9" s="38" t="s">
        <v>179</v>
      </c>
      <c r="C9" s="39" t="s">
        <v>199</v>
      </c>
      <c r="D9" s="43">
        <v>2.4358345461E10</v>
      </c>
      <c r="E9" s="38" t="s">
        <v>187</v>
      </c>
      <c r="F9" s="38" t="s">
        <v>181</v>
      </c>
      <c r="G9" s="44" t="s">
        <v>182</v>
      </c>
      <c r="H9" s="44" t="s">
        <v>183</v>
      </c>
    </row>
    <row r="10" ht="24.0" customHeight="1">
      <c r="B10" s="38" t="s">
        <v>179</v>
      </c>
      <c r="C10" s="39" t="s">
        <v>199</v>
      </c>
      <c r="D10" s="45">
        <v>4.2215282779E10</v>
      </c>
      <c r="E10" s="38" t="s">
        <v>180</v>
      </c>
      <c r="F10" s="38" t="s">
        <v>181</v>
      </c>
      <c r="G10" s="44" t="s">
        <v>182</v>
      </c>
      <c r="H10" s="44" t="s">
        <v>183</v>
      </c>
    </row>
    <row r="11" ht="24.0" customHeight="1">
      <c r="B11" s="38" t="s">
        <v>179</v>
      </c>
      <c r="C11" s="39" t="s">
        <v>199</v>
      </c>
      <c r="D11" s="46">
        <v>2.6734578951E10</v>
      </c>
      <c r="E11" s="47" t="s">
        <v>188</v>
      </c>
      <c r="F11" s="47" t="s">
        <v>189</v>
      </c>
      <c r="G11" s="38" t="s">
        <v>190</v>
      </c>
      <c r="H11" s="38" t="s">
        <v>191</v>
      </c>
    </row>
    <row r="12" ht="24.0" customHeight="1">
      <c r="B12" s="38" t="s">
        <v>179</v>
      </c>
      <c r="C12" s="39" t="s">
        <v>199</v>
      </c>
      <c r="D12" s="40">
        <v>4.6402037636E10</v>
      </c>
      <c r="E12" s="48" t="s">
        <v>180</v>
      </c>
      <c r="F12" s="48" t="s">
        <v>189</v>
      </c>
      <c r="G12" s="38" t="s">
        <v>190</v>
      </c>
      <c r="H12" s="38" t="s">
        <v>191</v>
      </c>
    </row>
    <row r="13" ht="24.0" customHeight="1">
      <c r="B13" s="38" t="s">
        <v>179</v>
      </c>
      <c r="C13" s="39" t="s">
        <v>199</v>
      </c>
      <c r="D13" s="46">
        <v>2.6922599401E10</v>
      </c>
      <c r="E13" s="47" t="s">
        <v>192</v>
      </c>
      <c r="F13" s="47" t="s">
        <v>189</v>
      </c>
      <c r="G13" s="38" t="s">
        <v>190</v>
      </c>
      <c r="H13" s="38" t="s">
        <v>191</v>
      </c>
    </row>
    <row r="14" ht="24.0" customHeight="1">
      <c r="B14" s="38" t="s">
        <v>179</v>
      </c>
      <c r="C14" s="39" t="s">
        <v>199</v>
      </c>
      <c r="D14" s="40">
        <v>4.1775252808E10</v>
      </c>
      <c r="E14" s="48" t="s">
        <v>193</v>
      </c>
      <c r="F14" s="48" t="s">
        <v>189</v>
      </c>
      <c r="G14" s="38" t="s">
        <v>190</v>
      </c>
      <c r="H14" s="38" t="s">
        <v>191</v>
      </c>
    </row>
    <row r="15" ht="24.0" customHeight="1">
      <c r="B15" s="38" t="s">
        <v>179</v>
      </c>
      <c r="C15" s="39" t="s">
        <v>199</v>
      </c>
      <c r="D15" s="46">
        <v>5.4450554943E10</v>
      </c>
      <c r="E15" s="47" t="s">
        <v>185</v>
      </c>
      <c r="F15" s="47" t="s">
        <v>189</v>
      </c>
      <c r="G15" s="38" t="s">
        <v>190</v>
      </c>
      <c r="H15" s="38" t="s">
        <v>191</v>
      </c>
    </row>
    <row r="16" ht="24.0" customHeight="1">
      <c r="B16" s="38" t="s">
        <v>179</v>
      </c>
      <c r="C16" s="39" t="s">
        <v>199</v>
      </c>
      <c r="D16" s="40">
        <v>2.4454474569E10</v>
      </c>
      <c r="E16" s="48" t="s">
        <v>188</v>
      </c>
      <c r="F16" s="48" t="s">
        <v>189</v>
      </c>
      <c r="G16" s="38" t="s">
        <v>190</v>
      </c>
      <c r="H16" s="38" t="s">
        <v>191</v>
      </c>
    </row>
    <row r="17" ht="24.0" customHeight="1">
      <c r="B17" s="38" t="s">
        <v>179</v>
      </c>
      <c r="C17" s="39" t="s">
        <v>199</v>
      </c>
      <c r="D17" s="46">
        <v>1.7896289091E10</v>
      </c>
      <c r="E17" s="47" t="s">
        <v>186</v>
      </c>
      <c r="F17" s="47" t="s">
        <v>189</v>
      </c>
      <c r="G17" s="38" t="s">
        <v>190</v>
      </c>
      <c r="H17" s="38" t="s">
        <v>191</v>
      </c>
    </row>
    <row r="18" ht="24.0" customHeight="1">
      <c r="B18" s="38" t="s">
        <v>179</v>
      </c>
      <c r="C18" s="39" t="s">
        <v>199</v>
      </c>
      <c r="D18" s="40">
        <v>4.0452701534E10</v>
      </c>
      <c r="E18" s="48" t="s">
        <v>188</v>
      </c>
      <c r="F18" s="48" t="s">
        <v>189</v>
      </c>
      <c r="G18" s="38" t="s">
        <v>190</v>
      </c>
      <c r="H18" s="38" t="s">
        <v>191</v>
      </c>
    </row>
    <row r="19" ht="24.0" customHeight="1">
      <c r="B19" s="38" t="s">
        <v>179</v>
      </c>
      <c r="C19" s="39" t="s">
        <v>199</v>
      </c>
      <c r="D19" s="46">
        <v>2.8205232844E10</v>
      </c>
      <c r="E19" s="47" t="s">
        <v>194</v>
      </c>
      <c r="F19" s="47" t="s">
        <v>189</v>
      </c>
      <c r="G19" s="38" t="s">
        <v>190</v>
      </c>
      <c r="H19" s="38" t="s">
        <v>191</v>
      </c>
    </row>
    <row r="20" ht="24.0" customHeight="1">
      <c r="B20" s="38" t="s">
        <v>179</v>
      </c>
      <c r="C20" s="39" t="s">
        <v>199</v>
      </c>
      <c r="D20" s="40">
        <v>5.1553812946E10</v>
      </c>
      <c r="E20" s="48" t="s">
        <v>180</v>
      </c>
      <c r="F20" s="48" t="s">
        <v>189</v>
      </c>
      <c r="G20" s="38" t="s">
        <v>190</v>
      </c>
      <c r="H20" s="38" t="s">
        <v>191</v>
      </c>
    </row>
    <row r="21" ht="24.0" customHeight="1">
      <c r="B21" s="38" t="s">
        <v>179</v>
      </c>
      <c r="C21" s="39" t="s">
        <v>199</v>
      </c>
      <c r="D21" s="46">
        <v>2.9775927096E10</v>
      </c>
      <c r="E21" s="47" t="s">
        <v>195</v>
      </c>
      <c r="F21" s="47" t="s">
        <v>189</v>
      </c>
      <c r="G21" s="38" t="s">
        <v>190</v>
      </c>
      <c r="H21" s="38" t="s">
        <v>191</v>
      </c>
    </row>
    <row r="22" ht="24.0" customHeight="1">
      <c r="B22" s="38" t="s">
        <v>179</v>
      </c>
      <c r="C22" s="39" t="s">
        <v>199</v>
      </c>
      <c r="D22" s="40">
        <v>2.478718965E10</v>
      </c>
      <c r="E22" s="48" t="s">
        <v>196</v>
      </c>
      <c r="F22" s="48" t="s">
        <v>189</v>
      </c>
      <c r="G22" s="38" t="s">
        <v>190</v>
      </c>
      <c r="H22" s="38" t="s">
        <v>191</v>
      </c>
    </row>
    <row r="23" ht="24.0" customHeight="1">
      <c r="B23" s="38" t="s">
        <v>179</v>
      </c>
      <c r="C23" s="39" t="s">
        <v>199</v>
      </c>
      <c r="D23" s="46">
        <v>2.7329181332E10</v>
      </c>
      <c r="E23" s="47" t="s">
        <v>197</v>
      </c>
      <c r="F23" s="47" t="s">
        <v>189</v>
      </c>
      <c r="G23" s="38" t="s">
        <v>190</v>
      </c>
      <c r="H23" s="38" t="s">
        <v>191</v>
      </c>
    </row>
    <row r="24" ht="24.0" customHeight="1">
      <c r="B24" s="38" t="s">
        <v>179</v>
      </c>
      <c r="C24" s="39" t="s">
        <v>199</v>
      </c>
      <c r="D24" s="40">
        <v>2.3288067468E10</v>
      </c>
      <c r="E24" s="48" t="s">
        <v>187</v>
      </c>
      <c r="F24" s="48" t="s">
        <v>189</v>
      </c>
      <c r="G24" s="38" t="s">
        <v>190</v>
      </c>
      <c r="H24" s="38" t="s">
        <v>191</v>
      </c>
    </row>
    <row r="25" ht="24.0" customHeight="1">
      <c r="B25" s="38" t="s">
        <v>179</v>
      </c>
      <c r="C25" s="39" t="s">
        <v>199</v>
      </c>
      <c r="D25" s="46">
        <v>2.8956444541E10</v>
      </c>
      <c r="E25" s="47" t="s">
        <v>198</v>
      </c>
      <c r="F25" s="47" t="s">
        <v>189</v>
      </c>
      <c r="G25" s="38" t="s">
        <v>190</v>
      </c>
      <c r="H25" s="38" t="s">
        <v>191</v>
      </c>
    </row>
  </sheetData>
  <autoFilter ref="$B$3:$H$25"/>
  <dataValidations>
    <dataValidation type="list" allowBlank="1" showErrorMessage="1" sqref="H4:H25">
      <formula1>"FAST MOVING,MODERATE,SLOW MOVING"</formula1>
    </dataValidation>
    <dataValidation type="list" allowBlank="1" showErrorMessage="1" sqref="C4:C25">
      <formula1>"RABU XTRA W1,RABU XTRA W2,RABU XTRA W3,RABU XTRA W4"</formula1>
    </dataValidation>
    <dataValidation type="list" allowBlank="1" showErrorMessage="1" sqref="G4:G25">
      <formula1>"FREE GIFT,BBLH,FLASH SALE"</formula1>
    </dataValidation>
    <dataValidation type="list" allowBlank="1" showErrorMessage="1" sqref="B4:B25">
      <formula1>"JANUARI,FEBRUARI,MARET,APRIL,MEI,JUNI,JULI,AGUSTUS,SEPTEMBER,OKTOBER,NOVEMBER,DESEMBER"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29"/>
    <col customWidth="1" min="5" max="5" width="18.43"/>
    <col customWidth="1" min="6" max="6" width="18.29"/>
    <col customWidth="1" min="8" max="8" width="23.86"/>
  </cols>
  <sheetData>
    <row r="1" ht="24.0" customHeight="1">
      <c r="A1" s="33" t="s">
        <v>200</v>
      </c>
      <c r="B1" s="33" t="s">
        <v>172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3" ht="24.0" customHeight="1">
      <c r="B3" s="35" t="s">
        <v>173</v>
      </c>
      <c r="C3" s="36" t="s">
        <v>116</v>
      </c>
      <c r="D3" s="37" t="s">
        <v>174</v>
      </c>
      <c r="E3" s="37" t="s">
        <v>175</v>
      </c>
      <c r="F3" s="37" t="s">
        <v>176</v>
      </c>
      <c r="G3" s="36" t="s">
        <v>177</v>
      </c>
      <c r="H3" s="36" t="s">
        <v>178</v>
      </c>
    </row>
    <row r="4" ht="24.0" customHeight="1">
      <c r="B4" s="38" t="s">
        <v>179</v>
      </c>
      <c r="C4" s="39" t="s">
        <v>200</v>
      </c>
      <c r="D4" s="40">
        <v>4.4418220234E10</v>
      </c>
      <c r="E4" s="41" t="s">
        <v>180</v>
      </c>
      <c r="F4" s="41" t="s">
        <v>181</v>
      </c>
      <c r="G4" s="42" t="s">
        <v>182</v>
      </c>
      <c r="H4" s="42" t="s">
        <v>183</v>
      </c>
    </row>
    <row r="5" ht="24.0" customHeight="1">
      <c r="B5" s="38" t="s">
        <v>179</v>
      </c>
      <c r="C5" s="39" t="s">
        <v>200</v>
      </c>
      <c r="D5" s="43">
        <v>2.6063549679E10</v>
      </c>
      <c r="E5" s="38" t="s">
        <v>184</v>
      </c>
      <c r="F5" s="38" t="s">
        <v>181</v>
      </c>
      <c r="G5" s="44" t="s">
        <v>182</v>
      </c>
      <c r="H5" s="44" t="s">
        <v>183</v>
      </c>
    </row>
    <row r="6" ht="24.0" customHeight="1">
      <c r="B6" s="38" t="s">
        <v>179</v>
      </c>
      <c r="C6" s="39" t="s">
        <v>200</v>
      </c>
      <c r="D6" s="45">
        <v>2.6959293958E10</v>
      </c>
      <c r="E6" s="38" t="s">
        <v>185</v>
      </c>
      <c r="F6" s="38" t="s">
        <v>181</v>
      </c>
      <c r="G6" s="44" t="s">
        <v>182</v>
      </c>
      <c r="H6" s="44" t="s">
        <v>183</v>
      </c>
    </row>
    <row r="7" ht="24.0" customHeight="1">
      <c r="B7" s="38" t="s">
        <v>179</v>
      </c>
      <c r="C7" s="39" t="s">
        <v>200</v>
      </c>
      <c r="D7" s="43">
        <v>1.9284944147E10</v>
      </c>
      <c r="E7" s="38" t="s">
        <v>186</v>
      </c>
      <c r="F7" s="38" t="s">
        <v>181</v>
      </c>
      <c r="G7" s="44" t="s">
        <v>182</v>
      </c>
      <c r="H7" s="44" t="s">
        <v>183</v>
      </c>
    </row>
    <row r="8" ht="24.0" customHeight="1">
      <c r="B8" s="38" t="s">
        <v>179</v>
      </c>
      <c r="C8" s="39" t="s">
        <v>200</v>
      </c>
      <c r="D8" s="45">
        <v>2.3182521393E10</v>
      </c>
      <c r="E8" s="38" t="s">
        <v>186</v>
      </c>
      <c r="F8" s="38" t="s">
        <v>181</v>
      </c>
      <c r="G8" s="44" t="s">
        <v>182</v>
      </c>
      <c r="H8" s="44" t="s">
        <v>183</v>
      </c>
    </row>
    <row r="9" ht="24.0" customHeight="1">
      <c r="B9" s="38" t="s">
        <v>179</v>
      </c>
      <c r="C9" s="39" t="s">
        <v>200</v>
      </c>
      <c r="D9" s="43">
        <v>2.4358345461E10</v>
      </c>
      <c r="E9" s="38" t="s">
        <v>187</v>
      </c>
      <c r="F9" s="38" t="s">
        <v>181</v>
      </c>
      <c r="G9" s="44" t="s">
        <v>182</v>
      </c>
      <c r="H9" s="44" t="s">
        <v>183</v>
      </c>
    </row>
    <row r="10" ht="24.0" customHeight="1">
      <c r="B10" s="38" t="s">
        <v>179</v>
      </c>
      <c r="C10" s="39" t="s">
        <v>200</v>
      </c>
      <c r="D10" s="45">
        <v>4.2215282779E10</v>
      </c>
      <c r="E10" s="38" t="s">
        <v>180</v>
      </c>
      <c r="F10" s="38" t="s">
        <v>181</v>
      </c>
      <c r="G10" s="44" t="s">
        <v>182</v>
      </c>
      <c r="H10" s="44" t="s">
        <v>183</v>
      </c>
    </row>
    <row r="11" ht="24.0" customHeight="1">
      <c r="B11" s="38" t="s">
        <v>179</v>
      </c>
      <c r="C11" s="39" t="s">
        <v>200</v>
      </c>
      <c r="D11" s="46">
        <v>2.6734578951E10</v>
      </c>
      <c r="E11" s="47" t="s">
        <v>188</v>
      </c>
      <c r="F11" s="47" t="s">
        <v>189</v>
      </c>
      <c r="G11" s="38" t="s">
        <v>190</v>
      </c>
      <c r="H11" s="38" t="s">
        <v>191</v>
      </c>
    </row>
    <row r="12" ht="24.0" customHeight="1">
      <c r="B12" s="38" t="s">
        <v>179</v>
      </c>
      <c r="C12" s="39" t="s">
        <v>200</v>
      </c>
      <c r="D12" s="40">
        <v>4.6402037636E10</v>
      </c>
      <c r="E12" s="48" t="s">
        <v>180</v>
      </c>
      <c r="F12" s="48" t="s">
        <v>189</v>
      </c>
      <c r="G12" s="38" t="s">
        <v>190</v>
      </c>
      <c r="H12" s="38" t="s">
        <v>191</v>
      </c>
    </row>
    <row r="13" ht="24.0" customHeight="1">
      <c r="B13" s="38" t="s">
        <v>179</v>
      </c>
      <c r="C13" s="39" t="s">
        <v>200</v>
      </c>
      <c r="D13" s="46">
        <v>2.6922599401E10</v>
      </c>
      <c r="E13" s="47" t="s">
        <v>192</v>
      </c>
      <c r="F13" s="47" t="s">
        <v>189</v>
      </c>
      <c r="G13" s="38" t="s">
        <v>190</v>
      </c>
      <c r="H13" s="38" t="s">
        <v>191</v>
      </c>
    </row>
    <row r="14" ht="24.0" customHeight="1">
      <c r="B14" s="38" t="s">
        <v>179</v>
      </c>
      <c r="C14" s="39" t="s">
        <v>200</v>
      </c>
      <c r="D14" s="40">
        <v>4.1775252808E10</v>
      </c>
      <c r="E14" s="48" t="s">
        <v>193</v>
      </c>
      <c r="F14" s="48" t="s">
        <v>189</v>
      </c>
      <c r="G14" s="38" t="s">
        <v>190</v>
      </c>
      <c r="H14" s="38" t="s">
        <v>191</v>
      </c>
    </row>
    <row r="15" ht="24.0" customHeight="1">
      <c r="B15" s="38" t="s">
        <v>179</v>
      </c>
      <c r="C15" s="39" t="s">
        <v>200</v>
      </c>
      <c r="D15" s="46">
        <v>5.4450554943E10</v>
      </c>
      <c r="E15" s="47" t="s">
        <v>185</v>
      </c>
      <c r="F15" s="47" t="s">
        <v>189</v>
      </c>
      <c r="G15" s="38" t="s">
        <v>190</v>
      </c>
      <c r="H15" s="38" t="s">
        <v>191</v>
      </c>
    </row>
    <row r="16" ht="24.0" customHeight="1">
      <c r="B16" s="38" t="s">
        <v>179</v>
      </c>
      <c r="C16" s="39" t="s">
        <v>200</v>
      </c>
      <c r="D16" s="40">
        <v>2.4454474569E10</v>
      </c>
      <c r="E16" s="48" t="s">
        <v>188</v>
      </c>
      <c r="F16" s="48" t="s">
        <v>189</v>
      </c>
      <c r="G16" s="38" t="s">
        <v>190</v>
      </c>
      <c r="H16" s="38" t="s">
        <v>191</v>
      </c>
    </row>
    <row r="17" ht="24.0" customHeight="1">
      <c r="B17" s="38" t="s">
        <v>179</v>
      </c>
      <c r="C17" s="39" t="s">
        <v>200</v>
      </c>
      <c r="D17" s="46">
        <v>1.7896289091E10</v>
      </c>
      <c r="E17" s="47" t="s">
        <v>186</v>
      </c>
      <c r="F17" s="47" t="s">
        <v>189</v>
      </c>
      <c r="G17" s="38" t="s">
        <v>190</v>
      </c>
      <c r="H17" s="38" t="s">
        <v>191</v>
      </c>
    </row>
    <row r="18" ht="24.0" customHeight="1">
      <c r="B18" s="38" t="s">
        <v>179</v>
      </c>
      <c r="C18" s="39" t="s">
        <v>200</v>
      </c>
      <c r="D18" s="40">
        <v>4.0452701534E10</v>
      </c>
      <c r="E18" s="48" t="s">
        <v>188</v>
      </c>
      <c r="F18" s="48" t="s">
        <v>189</v>
      </c>
      <c r="G18" s="38" t="s">
        <v>190</v>
      </c>
      <c r="H18" s="38" t="s">
        <v>191</v>
      </c>
    </row>
    <row r="19" ht="24.0" customHeight="1">
      <c r="B19" s="38" t="s">
        <v>179</v>
      </c>
      <c r="C19" s="39" t="s">
        <v>200</v>
      </c>
      <c r="D19" s="46">
        <v>2.8205232844E10</v>
      </c>
      <c r="E19" s="47" t="s">
        <v>194</v>
      </c>
      <c r="F19" s="47" t="s">
        <v>189</v>
      </c>
      <c r="G19" s="38" t="s">
        <v>190</v>
      </c>
      <c r="H19" s="38" t="s">
        <v>191</v>
      </c>
    </row>
    <row r="20" ht="24.0" customHeight="1">
      <c r="B20" s="38" t="s">
        <v>179</v>
      </c>
      <c r="C20" s="39" t="s">
        <v>200</v>
      </c>
      <c r="D20" s="40">
        <v>5.1553812946E10</v>
      </c>
      <c r="E20" s="48" t="s">
        <v>180</v>
      </c>
      <c r="F20" s="48" t="s">
        <v>189</v>
      </c>
      <c r="G20" s="38" t="s">
        <v>190</v>
      </c>
      <c r="H20" s="38" t="s">
        <v>191</v>
      </c>
    </row>
    <row r="21" ht="24.0" customHeight="1">
      <c r="B21" s="38" t="s">
        <v>179</v>
      </c>
      <c r="C21" s="39" t="s">
        <v>200</v>
      </c>
      <c r="D21" s="46">
        <v>2.9775927096E10</v>
      </c>
      <c r="E21" s="47" t="s">
        <v>195</v>
      </c>
      <c r="F21" s="47" t="s">
        <v>189</v>
      </c>
      <c r="G21" s="38" t="s">
        <v>190</v>
      </c>
      <c r="H21" s="38" t="s">
        <v>191</v>
      </c>
    </row>
    <row r="22" ht="24.0" customHeight="1">
      <c r="B22" s="38" t="s">
        <v>179</v>
      </c>
      <c r="C22" s="39" t="s">
        <v>200</v>
      </c>
      <c r="D22" s="40">
        <v>2.478718965E10</v>
      </c>
      <c r="E22" s="48" t="s">
        <v>196</v>
      </c>
      <c r="F22" s="48" t="s">
        <v>189</v>
      </c>
      <c r="G22" s="38" t="s">
        <v>190</v>
      </c>
      <c r="H22" s="38" t="s">
        <v>191</v>
      </c>
    </row>
    <row r="23" ht="24.0" customHeight="1">
      <c r="B23" s="38" t="s">
        <v>179</v>
      </c>
      <c r="C23" s="39" t="s">
        <v>200</v>
      </c>
      <c r="D23" s="46">
        <v>2.7329181332E10</v>
      </c>
      <c r="E23" s="47" t="s">
        <v>197</v>
      </c>
      <c r="F23" s="47" t="s">
        <v>189</v>
      </c>
      <c r="G23" s="38" t="s">
        <v>190</v>
      </c>
      <c r="H23" s="38" t="s">
        <v>191</v>
      </c>
    </row>
    <row r="24" ht="24.0" customHeight="1">
      <c r="B24" s="38" t="s">
        <v>179</v>
      </c>
      <c r="C24" s="39" t="s">
        <v>200</v>
      </c>
      <c r="D24" s="40">
        <v>2.3288067468E10</v>
      </c>
      <c r="E24" s="48" t="s">
        <v>187</v>
      </c>
      <c r="F24" s="48" t="s">
        <v>189</v>
      </c>
      <c r="G24" s="38" t="s">
        <v>190</v>
      </c>
      <c r="H24" s="38" t="s">
        <v>191</v>
      </c>
    </row>
    <row r="25" ht="24.0" customHeight="1">
      <c r="B25" s="38" t="s">
        <v>179</v>
      </c>
      <c r="C25" s="39" t="s">
        <v>200</v>
      </c>
      <c r="D25" s="46">
        <v>2.8956444541E10</v>
      </c>
      <c r="E25" s="47" t="s">
        <v>198</v>
      </c>
      <c r="F25" s="47" t="s">
        <v>189</v>
      </c>
      <c r="G25" s="38" t="s">
        <v>190</v>
      </c>
      <c r="H25" s="38" t="s">
        <v>191</v>
      </c>
    </row>
  </sheetData>
  <autoFilter ref="$B$3:$H$25"/>
  <dataValidations>
    <dataValidation type="list" allowBlank="1" showErrorMessage="1" sqref="H4:H25">
      <formula1>"FAST MOVING,MODERATE,SLOW MOVING"</formula1>
    </dataValidation>
    <dataValidation type="list" allowBlank="1" showErrorMessage="1" sqref="C4:C25">
      <formula1>"PAY DAY"</formula1>
    </dataValidation>
    <dataValidation type="list" allowBlank="1" showErrorMessage="1" sqref="G4:G25">
      <formula1>"FREE GIFT,BBLH,FLASH SALE"</formula1>
    </dataValidation>
    <dataValidation type="list" allowBlank="1" showErrorMessage="1" sqref="B4:B25">
      <formula1>"JANUARI,FEBRUARI,MARET,APRIL,MEI,JUNI,JULI,AGUSTUS,SEPTEMBER,OKTOBER,NOVEMBER,DESEMBER"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3" max="3" width="18.29"/>
    <col customWidth="1" min="4" max="4" width="14.29"/>
    <col customWidth="1" min="5" max="5" width="18.43"/>
    <col customWidth="1" min="6" max="6" width="18.29"/>
    <col customWidth="1" min="8" max="8" width="23.86"/>
  </cols>
  <sheetData>
    <row r="1" ht="24.0" customHeight="1">
      <c r="A1" s="33" t="s">
        <v>201</v>
      </c>
      <c r="B1" s="33" t="s">
        <v>202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3" ht="24.0" customHeight="1">
      <c r="B3" s="35" t="s">
        <v>173</v>
      </c>
      <c r="C3" s="36" t="s">
        <v>116</v>
      </c>
      <c r="D3" s="37" t="s">
        <v>174</v>
      </c>
      <c r="E3" s="37" t="s">
        <v>175</v>
      </c>
      <c r="F3" s="37" t="s">
        <v>176</v>
      </c>
      <c r="G3" s="36" t="s">
        <v>177</v>
      </c>
      <c r="H3" s="36" t="s">
        <v>178</v>
      </c>
    </row>
    <row r="4" ht="24.0" customHeight="1">
      <c r="B4" s="38" t="s">
        <v>179</v>
      </c>
      <c r="C4" s="39" t="s">
        <v>203</v>
      </c>
      <c r="D4" s="40">
        <v>4.4418220234E10</v>
      </c>
      <c r="E4" s="41" t="s">
        <v>180</v>
      </c>
      <c r="F4" s="41" t="s">
        <v>181</v>
      </c>
      <c r="G4" s="42" t="s">
        <v>182</v>
      </c>
      <c r="H4" s="42" t="s">
        <v>183</v>
      </c>
    </row>
    <row r="5" ht="24.0" customHeight="1">
      <c r="B5" s="38" t="s">
        <v>179</v>
      </c>
      <c r="C5" s="39" t="s">
        <v>203</v>
      </c>
      <c r="D5" s="43">
        <v>2.6063549679E10</v>
      </c>
      <c r="E5" s="38" t="s">
        <v>184</v>
      </c>
      <c r="F5" s="38" t="s">
        <v>181</v>
      </c>
      <c r="G5" s="44" t="s">
        <v>182</v>
      </c>
      <c r="H5" s="44" t="s">
        <v>183</v>
      </c>
    </row>
    <row r="6" ht="24.0" customHeight="1">
      <c r="B6" s="38" t="s">
        <v>179</v>
      </c>
      <c r="C6" s="39" t="s">
        <v>203</v>
      </c>
      <c r="D6" s="45">
        <v>2.6959293958E10</v>
      </c>
      <c r="E6" s="38" t="s">
        <v>185</v>
      </c>
      <c r="F6" s="38" t="s">
        <v>181</v>
      </c>
      <c r="G6" s="44" t="s">
        <v>182</v>
      </c>
      <c r="H6" s="44" t="s">
        <v>183</v>
      </c>
    </row>
    <row r="7" ht="24.0" customHeight="1">
      <c r="B7" s="38" t="s">
        <v>179</v>
      </c>
      <c r="C7" s="39" t="s">
        <v>203</v>
      </c>
      <c r="D7" s="43">
        <v>1.9284944147E10</v>
      </c>
      <c r="E7" s="38" t="s">
        <v>186</v>
      </c>
      <c r="F7" s="38" t="s">
        <v>181</v>
      </c>
      <c r="G7" s="44" t="s">
        <v>182</v>
      </c>
      <c r="H7" s="44" t="s">
        <v>183</v>
      </c>
    </row>
    <row r="8" ht="24.0" customHeight="1">
      <c r="B8" s="38" t="s">
        <v>179</v>
      </c>
      <c r="C8" s="39" t="s">
        <v>203</v>
      </c>
      <c r="D8" s="45">
        <v>2.3182521393E10</v>
      </c>
      <c r="E8" s="38" t="s">
        <v>186</v>
      </c>
      <c r="F8" s="38" t="s">
        <v>181</v>
      </c>
      <c r="G8" s="44" t="s">
        <v>182</v>
      </c>
      <c r="H8" s="44" t="s">
        <v>183</v>
      </c>
    </row>
    <row r="9" ht="24.0" customHeight="1">
      <c r="B9" s="38" t="s">
        <v>179</v>
      </c>
      <c r="C9" s="39" t="s">
        <v>203</v>
      </c>
      <c r="D9" s="43">
        <v>2.4358345461E10</v>
      </c>
      <c r="E9" s="38" t="s">
        <v>187</v>
      </c>
      <c r="F9" s="38" t="s">
        <v>181</v>
      </c>
      <c r="G9" s="44" t="s">
        <v>182</v>
      </c>
      <c r="H9" s="44" t="s">
        <v>183</v>
      </c>
    </row>
    <row r="10" ht="24.0" customHeight="1">
      <c r="B10" s="38" t="s">
        <v>179</v>
      </c>
      <c r="C10" s="39" t="s">
        <v>203</v>
      </c>
      <c r="D10" s="45">
        <v>4.2215282779E10</v>
      </c>
      <c r="E10" s="38" t="s">
        <v>180</v>
      </c>
      <c r="F10" s="38" t="s">
        <v>181</v>
      </c>
      <c r="G10" s="44" t="s">
        <v>182</v>
      </c>
      <c r="H10" s="44" t="s">
        <v>183</v>
      </c>
    </row>
    <row r="11" ht="24.0" customHeight="1">
      <c r="B11" s="38" t="s">
        <v>179</v>
      </c>
      <c r="C11" s="39" t="s">
        <v>203</v>
      </c>
      <c r="D11" s="46">
        <v>2.6734578951E10</v>
      </c>
      <c r="E11" s="47" t="s">
        <v>188</v>
      </c>
      <c r="F11" s="47" t="s">
        <v>189</v>
      </c>
      <c r="G11" s="38" t="s">
        <v>190</v>
      </c>
      <c r="H11" s="38" t="s">
        <v>191</v>
      </c>
    </row>
    <row r="12" ht="24.0" customHeight="1">
      <c r="B12" s="38" t="s">
        <v>179</v>
      </c>
      <c r="C12" s="39" t="s">
        <v>203</v>
      </c>
      <c r="D12" s="40">
        <v>4.6402037636E10</v>
      </c>
      <c r="E12" s="48" t="s">
        <v>180</v>
      </c>
      <c r="F12" s="48" t="s">
        <v>189</v>
      </c>
      <c r="G12" s="38" t="s">
        <v>190</v>
      </c>
      <c r="H12" s="38" t="s">
        <v>191</v>
      </c>
    </row>
    <row r="13" ht="24.0" customHeight="1">
      <c r="B13" s="38" t="s">
        <v>179</v>
      </c>
      <c r="C13" s="39" t="s">
        <v>203</v>
      </c>
      <c r="D13" s="46">
        <v>2.6922599401E10</v>
      </c>
      <c r="E13" s="47" t="s">
        <v>192</v>
      </c>
      <c r="F13" s="47" t="s">
        <v>189</v>
      </c>
      <c r="G13" s="38" t="s">
        <v>190</v>
      </c>
      <c r="H13" s="38" t="s">
        <v>191</v>
      </c>
    </row>
    <row r="14" ht="24.0" customHeight="1">
      <c r="B14" s="38" t="s">
        <v>179</v>
      </c>
      <c r="C14" s="39" t="s">
        <v>203</v>
      </c>
      <c r="D14" s="40">
        <v>4.1775252808E10</v>
      </c>
      <c r="E14" s="48" t="s">
        <v>193</v>
      </c>
      <c r="F14" s="48" t="s">
        <v>189</v>
      </c>
      <c r="G14" s="38" t="s">
        <v>190</v>
      </c>
      <c r="H14" s="38" t="s">
        <v>191</v>
      </c>
    </row>
    <row r="15" ht="24.0" customHeight="1">
      <c r="B15" s="38" t="s">
        <v>179</v>
      </c>
      <c r="C15" s="39" t="s">
        <v>203</v>
      </c>
      <c r="D15" s="46">
        <v>5.4450554943E10</v>
      </c>
      <c r="E15" s="47" t="s">
        <v>185</v>
      </c>
      <c r="F15" s="47" t="s">
        <v>189</v>
      </c>
      <c r="G15" s="38" t="s">
        <v>190</v>
      </c>
      <c r="H15" s="38" t="s">
        <v>191</v>
      </c>
    </row>
    <row r="16" ht="24.0" customHeight="1">
      <c r="B16" s="38" t="s">
        <v>179</v>
      </c>
      <c r="C16" s="39" t="s">
        <v>203</v>
      </c>
      <c r="D16" s="40">
        <v>2.4454474569E10</v>
      </c>
      <c r="E16" s="48" t="s">
        <v>188</v>
      </c>
      <c r="F16" s="48" t="s">
        <v>189</v>
      </c>
      <c r="G16" s="38" t="s">
        <v>190</v>
      </c>
      <c r="H16" s="38" t="s">
        <v>191</v>
      </c>
    </row>
    <row r="17" ht="24.0" customHeight="1">
      <c r="B17" s="38" t="s">
        <v>179</v>
      </c>
      <c r="C17" s="39" t="s">
        <v>203</v>
      </c>
      <c r="D17" s="46">
        <v>1.7896289091E10</v>
      </c>
      <c r="E17" s="47" t="s">
        <v>186</v>
      </c>
      <c r="F17" s="47" t="s">
        <v>189</v>
      </c>
      <c r="G17" s="38" t="s">
        <v>190</v>
      </c>
      <c r="H17" s="38" t="s">
        <v>191</v>
      </c>
    </row>
    <row r="18" ht="24.0" customHeight="1">
      <c r="B18" s="38" t="s">
        <v>179</v>
      </c>
      <c r="C18" s="39" t="s">
        <v>203</v>
      </c>
      <c r="D18" s="40">
        <v>4.0452701534E10</v>
      </c>
      <c r="E18" s="48" t="s">
        <v>188</v>
      </c>
      <c r="F18" s="48" t="s">
        <v>189</v>
      </c>
      <c r="G18" s="38" t="s">
        <v>190</v>
      </c>
      <c r="H18" s="38" t="s">
        <v>191</v>
      </c>
    </row>
    <row r="19" ht="24.0" customHeight="1">
      <c r="B19" s="38" t="s">
        <v>179</v>
      </c>
      <c r="C19" s="39" t="s">
        <v>203</v>
      </c>
      <c r="D19" s="46">
        <v>2.8205232844E10</v>
      </c>
      <c r="E19" s="47" t="s">
        <v>194</v>
      </c>
      <c r="F19" s="47" t="s">
        <v>189</v>
      </c>
      <c r="G19" s="38" t="s">
        <v>190</v>
      </c>
      <c r="H19" s="38" t="s">
        <v>191</v>
      </c>
    </row>
    <row r="20" ht="24.0" customHeight="1">
      <c r="B20" s="38" t="s">
        <v>179</v>
      </c>
      <c r="C20" s="39" t="s">
        <v>203</v>
      </c>
      <c r="D20" s="40">
        <v>5.1553812946E10</v>
      </c>
      <c r="E20" s="48" t="s">
        <v>180</v>
      </c>
      <c r="F20" s="48" t="s">
        <v>189</v>
      </c>
      <c r="G20" s="38" t="s">
        <v>190</v>
      </c>
      <c r="H20" s="38" t="s">
        <v>191</v>
      </c>
    </row>
    <row r="21" ht="24.0" customHeight="1">
      <c r="B21" s="38" t="s">
        <v>179</v>
      </c>
      <c r="C21" s="39" t="s">
        <v>203</v>
      </c>
      <c r="D21" s="46">
        <v>2.9775927096E10</v>
      </c>
      <c r="E21" s="47" t="s">
        <v>195</v>
      </c>
      <c r="F21" s="47" t="s">
        <v>189</v>
      </c>
      <c r="G21" s="38" t="s">
        <v>190</v>
      </c>
      <c r="H21" s="38" t="s">
        <v>191</v>
      </c>
    </row>
    <row r="22" ht="24.0" customHeight="1">
      <c r="B22" s="38" t="s">
        <v>179</v>
      </c>
      <c r="C22" s="39" t="s">
        <v>203</v>
      </c>
      <c r="D22" s="40">
        <v>2.478718965E10</v>
      </c>
      <c r="E22" s="48" t="s">
        <v>196</v>
      </c>
      <c r="F22" s="48" t="s">
        <v>189</v>
      </c>
      <c r="G22" s="38" t="s">
        <v>190</v>
      </c>
      <c r="H22" s="38" t="s">
        <v>191</v>
      </c>
    </row>
    <row r="23" ht="24.0" customHeight="1">
      <c r="B23" s="38" t="s">
        <v>179</v>
      </c>
      <c r="C23" s="39" t="s">
        <v>203</v>
      </c>
      <c r="D23" s="46">
        <v>2.7329181332E10</v>
      </c>
      <c r="E23" s="47" t="s">
        <v>197</v>
      </c>
      <c r="F23" s="47" t="s">
        <v>189</v>
      </c>
      <c r="G23" s="38" t="s">
        <v>190</v>
      </c>
      <c r="H23" s="38" t="s">
        <v>191</v>
      </c>
    </row>
    <row r="24" ht="24.0" customHeight="1">
      <c r="B24" s="38" t="s">
        <v>179</v>
      </c>
      <c r="C24" s="39" t="s">
        <v>203</v>
      </c>
      <c r="D24" s="40">
        <v>2.3288067468E10</v>
      </c>
      <c r="E24" s="48" t="s">
        <v>187</v>
      </c>
      <c r="F24" s="48" t="s">
        <v>189</v>
      </c>
      <c r="G24" s="38" t="s">
        <v>190</v>
      </c>
      <c r="H24" s="38" t="s">
        <v>191</v>
      </c>
    </row>
    <row r="25" ht="24.0" customHeight="1">
      <c r="B25" s="38" t="s">
        <v>179</v>
      </c>
      <c r="C25" s="39" t="s">
        <v>203</v>
      </c>
      <c r="D25" s="46">
        <v>2.8956444541E10</v>
      </c>
      <c r="E25" s="47" t="s">
        <v>198</v>
      </c>
      <c r="F25" s="47" t="s">
        <v>189</v>
      </c>
      <c r="G25" s="38" t="s">
        <v>190</v>
      </c>
      <c r="H25" s="38" t="s">
        <v>191</v>
      </c>
    </row>
  </sheetData>
  <autoFilter ref="$B$3:$H$25"/>
  <dataValidations>
    <dataValidation type="list" allowBlank="1" showErrorMessage="1" sqref="C4:C25">
      <formula1>"SFD"</formula1>
    </dataValidation>
    <dataValidation type="list" allowBlank="1" showErrorMessage="1" sqref="H4:H25">
      <formula1>"FAST MOVING,MODERATE,SLOW MOVING"</formula1>
    </dataValidation>
    <dataValidation type="list" allowBlank="1" showErrorMessage="1" sqref="G4:G25">
      <formula1>"FREE GIFT,BBLH,FLASH SALE"</formula1>
    </dataValidation>
    <dataValidation type="list" allowBlank="1" showErrorMessage="1" sqref="B4:B25">
      <formula1>"JANUARI,FEBRUARI,MARET,APRIL,MEI,JUNI,JULI,AGUSTUS,SEPTEMBER,OKTOBER,NOVEMBER,DESEMBER"</formula1>
    </dataValidation>
  </dataValidations>
  <drawing r:id="rId1"/>
</worksheet>
</file>